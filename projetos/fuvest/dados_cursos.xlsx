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s\python\projetos\fuvest\"/>
    </mc:Choice>
  </mc:AlternateContent>
  <xr:revisionPtr revIDLastSave="0" documentId="13_ncr:9_{9433E02D-48E9-43B4-82ED-5AD9355980D3}" xr6:coauthVersionLast="47" xr6:coauthVersionMax="47" xr10:uidLastSave="{00000000-0000-0000-0000-000000000000}"/>
  <bookViews>
    <workbookView xWindow="210" yWindow="1695" windowWidth="24750" windowHeight="14190" xr2:uid="{6F5BEB1F-A8B2-4B6C-B8BE-82BCF283510A}"/>
  </bookViews>
  <sheets>
    <sheet name="dados_cursos" sheetId="1" r:id="rId1"/>
  </sheets>
  <calcPr calcId="0"/>
</workbook>
</file>

<file path=xl/calcChain.xml><?xml version="1.0" encoding="utf-8"?>
<calcChain xmlns="http://schemas.openxmlformats.org/spreadsheetml/2006/main">
  <c r="J1356" i="1" l="1"/>
  <c r="K1356" i="1" s="1"/>
  <c r="J1357" i="1"/>
  <c r="K1357" i="1" s="1"/>
  <c r="J1358" i="1"/>
  <c r="L1358" i="1" s="1"/>
  <c r="J1359" i="1"/>
  <c r="K1359" i="1" s="1"/>
  <c r="L1359" i="1"/>
  <c r="J1360" i="1"/>
  <c r="K1360" i="1" s="1"/>
  <c r="L1360" i="1"/>
  <c r="J1361" i="1"/>
  <c r="K1361" i="1" s="1"/>
  <c r="J1362" i="1"/>
  <c r="K1362" i="1"/>
  <c r="L1362" i="1"/>
  <c r="J1363" i="1"/>
  <c r="K1363" i="1"/>
  <c r="L1363" i="1"/>
  <c r="J1364" i="1"/>
  <c r="K1364" i="1" s="1"/>
  <c r="J1365" i="1"/>
  <c r="K1365" i="1" s="1"/>
  <c r="J1366" i="1"/>
  <c r="L1366" i="1" s="1"/>
  <c r="J1367" i="1"/>
  <c r="K1367" i="1" s="1"/>
  <c r="L1367" i="1"/>
  <c r="J1368" i="1"/>
  <c r="K1368" i="1" s="1"/>
  <c r="L1368" i="1"/>
  <c r="J1369" i="1"/>
  <c r="K1369" i="1" s="1"/>
  <c r="J1370" i="1"/>
  <c r="K1370" i="1"/>
  <c r="L1370" i="1"/>
  <c r="J1371" i="1"/>
  <c r="K1371" i="1"/>
  <c r="L1371" i="1"/>
  <c r="J1372" i="1"/>
  <c r="K1372" i="1" s="1"/>
  <c r="J1373" i="1"/>
  <c r="K1373" i="1" s="1"/>
  <c r="J1374" i="1"/>
  <c r="L1374" i="1" s="1"/>
  <c r="J1375" i="1"/>
  <c r="K1375" i="1" s="1"/>
  <c r="L1375" i="1"/>
  <c r="J1376" i="1"/>
  <c r="K1376" i="1" s="1"/>
  <c r="L1376" i="1"/>
  <c r="J1377" i="1"/>
  <c r="K1377" i="1" s="1"/>
  <c r="J1378" i="1"/>
  <c r="K1378" i="1"/>
  <c r="L1378" i="1"/>
  <c r="J1379" i="1"/>
  <c r="K1379" i="1"/>
  <c r="L1379" i="1"/>
  <c r="J1380" i="1"/>
  <c r="K1380" i="1" s="1"/>
  <c r="J1381" i="1"/>
  <c r="K1381" i="1" s="1"/>
  <c r="J1382" i="1"/>
  <c r="L1382" i="1" s="1"/>
  <c r="J1383" i="1"/>
  <c r="K1383" i="1" s="1"/>
  <c r="L1383" i="1"/>
  <c r="J1384" i="1"/>
  <c r="K1384" i="1" s="1"/>
  <c r="L1384" i="1"/>
  <c r="J1385" i="1"/>
  <c r="K1385" i="1" s="1"/>
  <c r="J1386" i="1"/>
  <c r="K1386" i="1"/>
  <c r="L1386" i="1"/>
  <c r="J1387" i="1"/>
  <c r="K1387" i="1"/>
  <c r="L1387" i="1"/>
  <c r="J1388" i="1"/>
  <c r="K1388" i="1" s="1"/>
  <c r="J1389" i="1"/>
  <c r="K1389" i="1" s="1"/>
  <c r="J1390" i="1"/>
  <c r="L1390" i="1" s="1"/>
  <c r="J1391" i="1"/>
  <c r="K1391" i="1" s="1"/>
  <c r="L1391" i="1"/>
  <c r="J1392" i="1"/>
  <c r="K1392" i="1" s="1"/>
  <c r="L1392" i="1"/>
  <c r="J1393" i="1"/>
  <c r="K1393" i="1" s="1"/>
  <c r="J1394" i="1"/>
  <c r="K1394" i="1"/>
  <c r="L1394" i="1"/>
  <c r="J1395" i="1"/>
  <c r="K1395" i="1"/>
  <c r="L1395" i="1"/>
  <c r="J1396" i="1"/>
  <c r="K1396" i="1" s="1"/>
  <c r="J1397" i="1"/>
  <c r="K1397" i="1" s="1"/>
  <c r="J1398" i="1"/>
  <c r="L1398" i="1" s="1"/>
  <c r="J1399" i="1"/>
  <c r="K1399" i="1" s="1"/>
  <c r="L1399" i="1"/>
  <c r="J1400" i="1"/>
  <c r="K1400" i="1" s="1"/>
  <c r="L1400" i="1"/>
  <c r="J1401" i="1"/>
  <c r="K1401" i="1" s="1"/>
  <c r="J1402" i="1"/>
  <c r="K1402" i="1"/>
  <c r="L1402" i="1"/>
  <c r="J1403" i="1"/>
  <c r="K1403" i="1"/>
  <c r="L1403" i="1"/>
  <c r="J1404" i="1"/>
  <c r="K1404" i="1" s="1"/>
  <c r="J1405" i="1"/>
  <c r="K1405" i="1" s="1"/>
  <c r="J1406" i="1"/>
  <c r="L1406" i="1" s="1"/>
  <c r="J1407" i="1"/>
  <c r="K1407" i="1" s="1"/>
  <c r="L1407" i="1"/>
  <c r="J1408" i="1"/>
  <c r="K1408" i="1" s="1"/>
  <c r="L1408" i="1"/>
  <c r="J1409" i="1"/>
  <c r="K1409" i="1" s="1"/>
  <c r="J1410" i="1"/>
  <c r="K1410" i="1"/>
  <c r="L1410" i="1"/>
  <c r="J1411" i="1"/>
  <c r="K1411" i="1"/>
  <c r="L1411" i="1"/>
  <c r="J1412" i="1"/>
  <c r="K1412" i="1" s="1"/>
  <c r="J1413" i="1"/>
  <c r="K1413" i="1" s="1"/>
  <c r="J1414" i="1"/>
  <c r="L1414" i="1" s="1"/>
  <c r="J1415" i="1"/>
  <c r="K1415" i="1" s="1"/>
  <c r="L1415" i="1"/>
  <c r="J1416" i="1"/>
  <c r="K1416" i="1" s="1"/>
  <c r="L1416" i="1"/>
  <c r="J1417" i="1"/>
  <c r="K1417" i="1" s="1"/>
  <c r="J1418" i="1"/>
  <c r="K1418" i="1"/>
  <c r="L1418" i="1"/>
  <c r="J1419" i="1"/>
  <c r="K1419" i="1"/>
  <c r="L1419" i="1"/>
  <c r="J1420" i="1"/>
  <c r="K1420" i="1" s="1"/>
  <c r="J1421" i="1"/>
  <c r="K1421" i="1" s="1"/>
  <c r="J1422" i="1"/>
  <c r="L1422" i="1" s="1"/>
  <c r="J1423" i="1"/>
  <c r="K1423" i="1" s="1"/>
  <c r="L1423" i="1"/>
  <c r="J1424" i="1"/>
  <c r="K1424" i="1" s="1"/>
  <c r="L1424" i="1"/>
  <c r="J1425" i="1"/>
  <c r="K1425" i="1" s="1"/>
  <c r="J1426" i="1"/>
  <c r="K1426" i="1"/>
  <c r="L1426" i="1"/>
  <c r="J1427" i="1"/>
  <c r="L1427" i="1" s="1"/>
  <c r="K1427" i="1"/>
  <c r="J1428" i="1"/>
  <c r="K1428" i="1" s="1"/>
  <c r="J1429" i="1"/>
  <c r="K1429" i="1" s="1"/>
  <c r="J1430" i="1"/>
  <c r="L1430" i="1" s="1"/>
  <c r="J1431" i="1"/>
  <c r="K1431" i="1" s="1"/>
  <c r="L1431" i="1"/>
  <c r="J1432" i="1"/>
  <c r="K1432" i="1"/>
  <c r="L1432" i="1"/>
  <c r="J1433" i="1"/>
  <c r="K1433" i="1" s="1"/>
  <c r="J1434" i="1"/>
  <c r="K1434" i="1"/>
  <c r="L1434" i="1"/>
  <c r="J1435" i="1"/>
  <c r="L1435" i="1" s="1"/>
  <c r="K1435" i="1"/>
  <c r="J1436" i="1"/>
  <c r="K1436" i="1" s="1"/>
  <c r="J1437" i="1"/>
  <c r="K1437" i="1" s="1"/>
  <c r="J1438" i="1"/>
  <c r="L1438" i="1" s="1"/>
  <c r="J1439" i="1"/>
  <c r="K1439" i="1" s="1"/>
  <c r="L1439" i="1"/>
  <c r="J1440" i="1"/>
  <c r="K1440" i="1"/>
  <c r="L1440" i="1"/>
  <c r="J1441" i="1"/>
  <c r="K1441" i="1" s="1"/>
  <c r="J1442" i="1"/>
  <c r="K1442" i="1"/>
  <c r="L1442" i="1"/>
  <c r="J1443" i="1"/>
  <c r="L1443" i="1" s="1"/>
  <c r="K1443" i="1"/>
  <c r="J1444" i="1"/>
  <c r="K1444" i="1" s="1"/>
  <c r="J1445" i="1"/>
  <c r="K1445" i="1" s="1"/>
  <c r="J1446" i="1"/>
  <c r="L1446" i="1" s="1"/>
  <c r="J1447" i="1"/>
  <c r="K1447" i="1"/>
  <c r="L1447" i="1"/>
  <c r="J1448" i="1"/>
  <c r="K1448" i="1"/>
  <c r="L1448" i="1"/>
  <c r="J1449" i="1"/>
  <c r="K1449" i="1" s="1"/>
  <c r="J1450" i="1"/>
  <c r="L1450" i="1" s="1"/>
  <c r="K1450" i="1"/>
  <c r="J1451" i="1"/>
  <c r="L1451" i="1" s="1"/>
  <c r="K1451" i="1"/>
  <c r="J1452" i="1"/>
  <c r="K1452" i="1" s="1"/>
  <c r="J1453" i="1"/>
  <c r="K1453" i="1" s="1"/>
  <c r="J1454" i="1"/>
  <c r="K1454" i="1" s="1"/>
  <c r="J1455" i="1"/>
  <c r="K1455" i="1"/>
  <c r="L1455" i="1"/>
  <c r="J1456" i="1"/>
  <c r="K1456" i="1"/>
  <c r="L1456" i="1"/>
  <c r="J1457" i="1"/>
  <c r="L1457" i="1" s="1"/>
  <c r="K1457" i="1"/>
  <c r="J1458" i="1"/>
  <c r="L1458" i="1" s="1"/>
  <c r="K1458" i="1"/>
  <c r="J1459" i="1"/>
  <c r="L1459" i="1" s="1"/>
  <c r="K1459" i="1"/>
  <c r="J1460" i="1"/>
  <c r="K1460" i="1" s="1"/>
  <c r="J1461" i="1"/>
  <c r="K1461" i="1" s="1"/>
  <c r="J1462" i="1"/>
  <c r="K1462" i="1" s="1"/>
  <c r="J1463" i="1"/>
  <c r="K1463" i="1"/>
  <c r="L1463" i="1"/>
  <c r="J1355" i="1"/>
  <c r="L1355" i="1" s="1"/>
  <c r="J76" i="1"/>
  <c r="L76" i="1" s="1"/>
  <c r="J77" i="1"/>
  <c r="L77" i="1" s="1"/>
  <c r="J78" i="1"/>
  <c r="K78" i="1" s="1"/>
  <c r="J79" i="1"/>
  <c r="K79" i="1" s="1"/>
  <c r="J80" i="1"/>
  <c r="L80" i="1" s="1"/>
  <c r="J81" i="1"/>
  <c r="L81" i="1" s="1"/>
  <c r="J82" i="1"/>
  <c r="L82" i="1" s="1"/>
  <c r="J83" i="1"/>
  <c r="L83" i="1" s="1"/>
  <c r="J84" i="1"/>
  <c r="L84" i="1" s="1"/>
  <c r="J85" i="1"/>
  <c r="L85" i="1" s="1"/>
  <c r="J86" i="1"/>
  <c r="K86" i="1" s="1"/>
  <c r="J87" i="1"/>
  <c r="K87" i="1" s="1"/>
  <c r="J88" i="1"/>
  <c r="L88" i="1" s="1"/>
  <c r="J89" i="1"/>
  <c r="L89" i="1" s="1"/>
  <c r="J90" i="1"/>
  <c r="K90" i="1" s="1"/>
  <c r="J91" i="1"/>
  <c r="L91" i="1" s="1"/>
  <c r="J92" i="1"/>
  <c r="L92" i="1" s="1"/>
  <c r="J93" i="1"/>
  <c r="L93" i="1" s="1"/>
  <c r="J94" i="1"/>
  <c r="L94" i="1" s="1"/>
  <c r="J95" i="1"/>
  <c r="K95" i="1" s="1"/>
  <c r="J96" i="1"/>
  <c r="L96" i="1" s="1"/>
  <c r="J97" i="1"/>
  <c r="L97" i="1" s="1"/>
  <c r="J98" i="1"/>
  <c r="K98" i="1" s="1"/>
  <c r="J99" i="1"/>
  <c r="L99" i="1" s="1"/>
  <c r="J100" i="1"/>
  <c r="L100" i="1" s="1"/>
  <c r="J101" i="1"/>
  <c r="L101" i="1" s="1"/>
  <c r="J102" i="1"/>
  <c r="L102" i="1" s="1"/>
  <c r="J103" i="1"/>
  <c r="L103" i="1" s="1"/>
  <c r="J104" i="1"/>
  <c r="L104" i="1" s="1"/>
  <c r="J105" i="1"/>
  <c r="L105" i="1" s="1"/>
  <c r="J106" i="1"/>
  <c r="K106" i="1" s="1"/>
  <c r="J107" i="1"/>
  <c r="L107" i="1" s="1"/>
  <c r="J108" i="1"/>
  <c r="L108" i="1" s="1"/>
  <c r="J109" i="1"/>
  <c r="L109" i="1" s="1"/>
  <c r="J110" i="1"/>
  <c r="L110" i="1" s="1"/>
  <c r="J111" i="1"/>
  <c r="L111" i="1" s="1"/>
  <c r="J112" i="1"/>
  <c r="L112" i="1" s="1"/>
  <c r="J113" i="1"/>
  <c r="L113" i="1" s="1"/>
  <c r="J114" i="1"/>
  <c r="K114" i="1" s="1"/>
  <c r="J115" i="1"/>
  <c r="L115" i="1" s="1"/>
  <c r="J116" i="1"/>
  <c r="L116" i="1" s="1"/>
  <c r="J117" i="1"/>
  <c r="L117" i="1" s="1"/>
  <c r="J118" i="1"/>
  <c r="L118" i="1" s="1"/>
  <c r="J119" i="1"/>
  <c r="K119" i="1" s="1"/>
  <c r="J120" i="1"/>
  <c r="L120" i="1" s="1"/>
  <c r="J121" i="1"/>
  <c r="L121" i="1" s="1"/>
  <c r="J122" i="1"/>
  <c r="K122" i="1" s="1"/>
  <c r="J123" i="1"/>
  <c r="L123" i="1" s="1"/>
  <c r="J124" i="1"/>
  <c r="L124" i="1" s="1"/>
  <c r="J125" i="1"/>
  <c r="L125" i="1" s="1"/>
  <c r="J126" i="1"/>
  <c r="L126" i="1" s="1"/>
  <c r="J127" i="1"/>
  <c r="L127" i="1" s="1"/>
  <c r="J128" i="1"/>
  <c r="L128" i="1" s="1"/>
  <c r="J129" i="1"/>
  <c r="L129" i="1" s="1"/>
  <c r="J130" i="1"/>
  <c r="K130" i="1" s="1"/>
  <c r="J131" i="1"/>
  <c r="L131" i="1" s="1"/>
  <c r="J132" i="1"/>
  <c r="L132" i="1" s="1"/>
  <c r="J133" i="1"/>
  <c r="L133" i="1" s="1"/>
  <c r="J134" i="1"/>
  <c r="L134" i="1" s="1"/>
  <c r="J135" i="1"/>
  <c r="L135" i="1" s="1"/>
  <c r="J136" i="1"/>
  <c r="L136" i="1" s="1"/>
  <c r="J137" i="1"/>
  <c r="L137" i="1" s="1"/>
  <c r="J138" i="1"/>
  <c r="L138" i="1" s="1"/>
  <c r="J139" i="1"/>
  <c r="L139" i="1" s="1"/>
  <c r="J140" i="1"/>
  <c r="L140" i="1" s="1"/>
  <c r="J141" i="1"/>
  <c r="K141" i="1" s="1"/>
  <c r="J142" i="1"/>
  <c r="K142" i="1" s="1"/>
  <c r="J143" i="1"/>
  <c r="K143" i="1" s="1"/>
  <c r="J144" i="1"/>
  <c r="L144" i="1" s="1"/>
  <c r="J145" i="1"/>
  <c r="L145" i="1" s="1"/>
  <c r="J146" i="1"/>
  <c r="L146" i="1" s="1"/>
  <c r="J147" i="1"/>
  <c r="L147" i="1" s="1"/>
  <c r="J148" i="1"/>
  <c r="L148" i="1" s="1"/>
  <c r="J149" i="1"/>
  <c r="K149" i="1" s="1"/>
  <c r="J75" i="1"/>
  <c r="K75" i="1" s="1"/>
  <c r="K76" i="1"/>
  <c r="K77" i="1"/>
  <c r="K81" i="1"/>
  <c r="K82" i="1"/>
  <c r="K83" i="1"/>
  <c r="K84" i="1"/>
  <c r="K85" i="1"/>
  <c r="K92" i="1"/>
  <c r="K93" i="1"/>
  <c r="K97" i="1"/>
  <c r="K99" i="1"/>
  <c r="K100" i="1"/>
  <c r="K101" i="1"/>
  <c r="K108" i="1"/>
  <c r="K109" i="1"/>
  <c r="K110" i="1"/>
  <c r="K113" i="1"/>
  <c r="K117" i="1"/>
  <c r="K129" i="1"/>
  <c r="K148" i="1"/>
  <c r="J3" i="1"/>
  <c r="L3" i="1" s="1"/>
  <c r="J4" i="1"/>
  <c r="L4" i="1" s="1"/>
  <c r="J5" i="1"/>
  <c r="L5" i="1" s="1"/>
  <c r="J6" i="1"/>
  <c r="K6" i="1" s="1"/>
  <c r="J7" i="1"/>
  <c r="L7" i="1" s="1"/>
  <c r="J8" i="1"/>
  <c r="L8" i="1" s="1"/>
  <c r="J9" i="1"/>
  <c r="L9" i="1" s="1"/>
  <c r="J10" i="1"/>
  <c r="K10" i="1" s="1"/>
  <c r="J11" i="1"/>
  <c r="L11" i="1" s="1"/>
  <c r="J12" i="1"/>
  <c r="L12" i="1" s="1"/>
  <c r="J13" i="1"/>
  <c r="L13" i="1" s="1"/>
  <c r="J14" i="1"/>
  <c r="K14" i="1" s="1"/>
  <c r="J15" i="1"/>
  <c r="L15" i="1" s="1"/>
  <c r="J16" i="1"/>
  <c r="L16" i="1" s="1"/>
  <c r="J17" i="1"/>
  <c r="K17" i="1" s="1"/>
  <c r="J18" i="1"/>
  <c r="K18" i="1" s="1"/>
  <c r="J19" i="1"/>
  <c r="L19" i="1" s="1"/>
  <c r="J20" i="1"/>
  <c r="L20" i="1" s="1"/>
  <c r="J21" i="1"/>
  <c r="L21" i="1" s="1"/>
  <c r="J22" i="1"/>
  <c r="K22" i="1" s="1"/>
  <c r="J23" i="1"/>
  <c r="L23" i="1" s="1"/>
  <c r="J24" i="1"/>
  <c r="L24" i="1" s="1"/>
  <c r="J25" i="1"/>
  <c r="K25" i="1" s="1"/>
  <c r="J26" i="1"/>
  <c r="K26" i="1" s="1"/>
  <c r="J27" i="1"/>
  <c r="L27" i="1" s="1"/>
  <c r="J28" i="1"/>
  <c r="K28" i="1" s="1"/>
  <c r="J29" i="1"/>
  <c r="L29" i="1" s="1"/>
  <c r="J30" i="1"/>
  <c r="L30" i="1" s="1"/>
  <c r="J31" i="1"/>
  <c r="L31" i="1" s="1"/>
  <c r="J32" i="1"/>
  <c r="L32" i="1" s="1"/>
  <c r="J33" i="1"/>
  <c r="K33" i="1" s="1"/>
  <c r="J34" i="1"/>
  <c r="K34" i="1" s="1"/>
  <c r="J35" i="1"/>
  <c r="L35" i="1" s="1"/>
  <c r="J36" i="1"/>
  <c r="L36" i="1" s="1"/>
  <c r="J37" i="1"/>
  <c r="K37" i="1" s="1"/>
  <c r="J38" i="1"/>
  <c r="K38" i="1" s="1"/>
  <c r="J39" i="1"/>
  <c r="L39" i="1" s="1"/>
  <c r="J40" i="1"/>
  <c r="K40" i="1" s="1"/>
  <c r="J41" i="1"/>
  <c r="K41" i="1" s="1"/>
  <c r="J42" i="1"/>
  <c r="K42" i="1" s="1"/>
  <c r="J43" i="1"/>
  <c r="L43" i="1" s="1"/>
  <c r="J44" i="1"/>
  <c r="L44" i="1" s="1"/>
  <c r="J45" i="1"/>
  <c r="K45" i="1" s="1"/>
  <c r="J46" i="1"/>
  <c r="K46" i="1" s="1"/>
  <c r="J47" i="1"/>
  <c r="L47" i="1" s="1"/>
  <c r="J48" i="1"/>
  <c r="K48" i="1" s="1"/>
  <c r="J49" i="1"/>
  <c r="K49" i="1" s="1"/>
  <c r="J50" i="1"/>
  <c r="K50" i="1" s="1"/>
  <c r="J51" i="1"/>
  <c r="L51" i="1" s="1"/>
  <c r="J52" i="1"/>
  <c r="L52" i="1" s="1"/>
  <c r="J53" i="1"/>
  <c r="K53" i="1" s="1"/>
  <c r="J54" i="1"/>
  <c r="L54" i="1" s="1"/>
  <c r="J55" i="1"/>
  <c r="L55" i="1" s="1"/>
  <c r="J56" i="1"/>
  <c r="L56" i="1" s="1"/>
  <c r="J57" i="1"/>
  <c r="K57" i="1" s="1"/>
  <c r="J58" i="1"/>
  <c r="K58" i="1" s="1"/>
  <c r="J59" i="1"/>
  <c r="L59" i="1" s="1"/>
  <c r="J60" i="1"/>
  <c r="K60" i="1" s="1"/>
  <c r="J61" i="1"/>
  <c r="L61" i="1" s="1"/>
  <c r="J62" i="1"/>
  <c r="K62" i="1" s="1"/>
  <c r="J63" i="1"/>
  <c r="L63" i="1" s="1"/>
  <c r="J64" i="1"/>
  <c r="L64" i="1" s="1"/>
  <c r="J65" i="1"/>
  <c r="K65" i="1" s="1"/>
  <c r="J66" i="1"/>
  <c r="K66" i="1" s="1"/>
  <c r="J67" i="1"/>
  <c r="L67" i="1" s="1"/>
  <c r="J68" i="1"/>
  <c r="L68" i="1" s="1"/>
  <c r="J69" i="1"/>
  <c r="K69" i="1" s="1"/>
  <c r="J70" i="1"/>
  <c r="L70" i="1" s="1"/>
  <c r="J71" i="1"/>
  <c r="L71" i="1" s="1"/>
  <c r="J72" i="1"/>
  <c r="K72" i="1" s="1"/>
  <c r="J73" i="1"/>
  <c r="K73" i="1" s="1"/>
  <c r="J74" i="1"/>
  <c r="K74" i="1" s="1"/>
  <c r="J2" i="1"/>
  <c r="L2" i="1" s="1"/>
  <c r="L1462" i="1" l="1"/>
  <c r="L1454" i="1"/>
  <c r="K1446" i="1"/>
  <c r="K1438" i="1"/>
  <c r="K1430" i="1"/>
  <c r="K1422" i="1"/>
  <c r="K1414" i="1"/>
  <c r="K1406" i="1"/>
  <c r="K1398" i="1"/>
  <c r="K1390" i="1"/>
  <c r="K1382" i="1"/>
  <c r="K1374" i="1"/>
  <c r="K1366" i="1"/>
  <c r="K1358" i="1"/>
  <c r="L1461" i="1"/>
  <c r="L1453" i="1"/>
  <c r="L1445" i="1"/>
  <c r="L1437" i="1"/>
  <c r="L1429" i="1"/>
  <c r="L1421" i="1"/>
  <c r="L1413" i="1"/>
  <c r="L1405" i="1"/>
  <c r="L1397" i="1"/>
  <c r="L1389" i="1"/>
  <c r="L1381" i="1"/>
  <c r="L1373" i="1"/>
  <c r="L1365" i="1"/>
  <c r="L1357" i="1"/>
  <c r="L1444" i="1"/>
  <c r="L1436" i="1"/>
  <c r="L1428" i="1"/>
  <c r="L1420" i="1"/>
  <c r="L1412" i="1"/>
  <c r="L1404" i="1"/>
  <c r="L1396" i="1"/>
  <c r="L1388" i="1"/>
  <c r="L1380" i="1"/>
  <c r="L1372" i="1"/>
  <c r="L1364" i="1"/>
  <c r="L1356" i="1"/>
  <c r="L1460" i="1"/>
  <c r="L1452" i="1"/>
  <c r="L1449" i="1"/>
  <c r="L1441" i="1"/>
  <c r="L1433" i="1"/>
  <c r="L1425" i="1"/>
  <c r="L1417" i="1"/>
  <c r="L1409" i="1"/>
  <c r="L1401" i="1"/>
  <c r="L1393" i="1"/>
  <c r="L1385" i="1"/>
  <c r="L1377" i="1"/>
  <c r="L1369" i="1"/>
  <c r="L1361" i="1"/>
  <c r="K1355" i="1"/>
  <c r="K132" i="1"/>
  <c r="K116" i="1"/>
  <c r="K131" i="1"/>
  <c r="K147" i="1"/>
  <c r="K121" i="1"/>
  <c r="K107" i="1"/>
  <c r="K91" i="1"/>
  <c r="K145" i="1"/>
  <c r="K105" i="1"/>
  <c r="K89" i="1"/>
  <c r="K123" i="1"/>
  <c r="K139" i="1"/>
  <c r="K137" i="1"/>
  <c r="K115" i="1"/>
  <c r="K146" i="1"/>
  <c r="K111" i="1"/>
  <c r="L98" i="1"/>
  <c r="K140" i="1"/>
  <c r="K124" i="1"/>
  <c r="K112" i="1"/>
  <c r="K102" i="1"/>
  <c r="K80" i="1"/>
  <c r="L106" i="1"/>
  <c r="K88" i="1"/>
  <c r="L130" i="1"/>
  <c r="K136" i="1"/>
  <c r="K120" i="1"/>
  <c r="L122" i="1"/>
  <c r="L90" i="1"/>
  <c r="K96" i="1"/>
  <c r="L114" i="1"/>
  <c r="K144" i="1"/>
  <c r="K128" i="1"/>
  <c r="K104" i="1"/>
  <c r="K103" i="1"/>
  <c r="K94" i="1"/>
  <c r="K127" i="1"/>
  <c r="K135" i="1"/>
  <c r="K126" i="1"/>
  <c r="L143" i="1"/>
  <c r="L119" i="1"/>
  <c r="L95" i="1"/>
  <c r="L87" i="1"/>
  <c r="L79" i="1"/>
  <c r="K118" i="1"/>
  <c r="K134" i="1"/>
  <c r="K125" i="1"/>
  <c r="L75" i="1"/>
  <c r="L142" i="1"/>
  <c r="L86" i="1"/>
  <c r="L78" i="1"/>
  <c r="K133" i="1"/>
  <c r="L149" i="1"/>
  <c r="L141" i="1"/>
  <c r="K138" i="1"/>
  <c r="K61" i="1"/>
  <c r="K29" i="1"/>
  <c r="K8" i="1"/>
  <c r="L72" i="1"/>
  <c r="L49" i="1"/>
  <c r="K64" i="1"/>
  <c r="K32" i="1"/>
  <c r="L73" i="1"/>
  <c r="L53" i="1"/>
  <c r="K56" i="1"/>
  <c r="K24" i="1"/>
  <c r="L69" i="1"/>
  <c r="L48" i="1"/>
  <c r="L25" i="1"/>
  <c r="K21" i="1"/>
  <c r="L65" i="1"/>
  <c r="L45" i="1"/>
  <c r="K16" i="1"/>
  <c r="L41" i="1"/>
  <c r="K13" i="1"/>
  <c r="L40" i="1"/>
  <c r="L17" i="1"/>
  <c r="L57" i="1"/>
  <c r="L37" i="1"/>
  <c r="K5" i="1"/>
  <c r="L33" i="1"/>
  <c r="L62" i="1"/>
  <c r="L46" i="1"/>
  <c r="L38" i="1"/>
  <c r="L22" i="1"/>
  <c r="L14" i="1"/>
  <c r="L6" i="1"/>
  <c r="K52" i="1"/>
  <c r="K9" i="1"/>
  <c r="L74" i="1"/>
  <c r="L66" i="1"/>
  <c r="L58" i="1"/>
  <c r="L50" i="1"/>
  <c r="L42" i="1"/>
  <c r="L34" i="1"/>
  <c r="L26" i="1"/>
  <c r="L18" i="1"/>
  <c r="L10" i="1"/>
  <c r="K71" i="1"/>
  <c r="K63" i="1"/>
  <c r="K55" i="1"/>
  <c r="K47" i="1"/>
  <c r="K39" i="1"/>
  <c r="K31" i="1"/>
  <c r="K23" i="1"/>
  <c r="K15" i="1"/>
  <c r="K7" i="1"/>
  <c r="K70" i="1"/>
  <c r="K54" i="1"/>
  <c r="K30" i="1"/>
  <c r="K68" i="1"/>
  <c r="K44" i="1"/>
  <c r="K36" i="1"/>
  <c r="K20" i="1"/>
  <c r="K12" i="1"/>
  <c r="K4" i="1"/>
  <c r="K2" i="1"/>
  <c r="K67" i="1"/>
  <c r="K59" i="1"/>
  <c r="K51" i="1"/>
  <c r="K43" i="1"/>
  <c r="K35" i="1"/>
  <c r="K27" i="1"/>
  <c r="K19" i="1"/>
  <c r="K11" i="1"/>
  <c r="K3" i="1"/>
  <c r="L60" i="1"/>
  <c r="L28" i="1"/>
</calcChain>
</file>

<file path=xl/sharedStrings.xml><?xml version="1.0" encoding="utf-8"?>
<sst xmlns="http://schemas.openxmlformats.org/spreadsheetml/2006/main" count="1727" uniqueCount="808">
  <si>
    <t>ano</t>
  </si>
  <si>
    <t>curso</t>
  </si>
  <si>
    <t>vagas</t>
  </si>
  <si>
    <t>inscritos</t>
  </si>
  <si>
    <t>pontos_minimo</t>
  </si>
  <si>
    <t>pontos_maximo</t>
  </si>
  <si>
    <t>candidatos_por_vaga</t>
  </si>
  <si>
    <t>100-Musica</t>
  </si>
  <si>
    <t>111-Artes Cenicas−Bacharelado</t>
  </si>
  <si>
    <t>121-Artes Cenicas−Licenciatura</t>
  </si>
  <si>
    <t>131-Artes Plasticas</t>
  </si>
  <si>
    <t>142-Biblioteconomia−USP</t>
  </si>
  <si>
    <t>151-Biblioteconomia−Ufscar</t>
  </si>
  <si>
    <t>161-Cinema e Video</t>
  </si>
  <si>
    <t>171-Producao Editorial</t>
  </si>
  <si>
    <t>182-Jornalismo</t>
  </si>
  <si>
    <t>192-Publicidade e Propaganda</t>
  </si>
  <si>
    <t>201-Radio e Televisao</t>
  </si>
  <si>
    <t>211-Relacoes Publicas</t>
  </si>
  <si>
    <t>221-Turismo</t>
  </si>
  <si>
    <t>232-Ciencias Sociais</t>
  </si>
  <si>
    <t>241-Ciencias Sociais−Ufscar</t>
  </si>
  <si>
    <t>252-Filosofia</t>
  </si>
  <si>
    <t>262-Geografia</t>
  </si>
  <si>
    <t>272-Historia</t>
  </si>
  <si>
    <t>280-Letras</t>
  </si>
  <si>
    <t>305-Administracao</t>
  </si>
  <si>
    <t>311-Administracao−Ribeirao Preto</t>
  </si>
  <si>
    <t>322-Ciencias Contabeis</t>
  </si>
  <si>
    <t>331-Ciencias Contabeis−Ribeirao Preto</t>
  </si>
  <si>
    <t>342-Economia</t>
  </si>
  <si>
    <t>351-Economia−Ribeirao Preto</t>
  </si>
  <si>
    <t>361-Arquitetura FAU</t>
  </si>
  <si>
    <t>371-Arquitetura−Sao Carlos</t>
  </si>
  <si>
    <t>382-Direito</t>
  </si>
  <si>
    <t>392-Pedagogia</t>
  </si>
  <si>
    <t>401-Pedagogia−Ufscar</t>
  </si>
  <si>
    <t>499-Treineiro de Biologicas</t>
  </si>
  <si>
    <t>503-Ciencias Biologicas</t>
  </si>
  <si>
    <t>511-Ciencias Biologicas−Epm</t>
  </si>
  <si>
    <t>521-Ciencias Biologicas−Ribeirao Preto</t>
  </si>
  <si>
    <t>533-Enfermagem</t>
  </si>
  <si>
    <t>541-Enfermagem−Ribeirao Preto</t>
  </si>
  <si>
    <t>552-Farmacia−Bioquimica</t>
  </si>
  <si>
    <t>561-Farmacia−Bioquimica−Ribeirao Preto</t>
  </si>
  <si>
    <t>574-Medicina e Ciencias Medicas</t>
  </si>
  <si>
    <t>581-Medicina Veterinaria</t>
  </si>
  <si>
    <t>591-Zootecnia</t>
  </si>
  <si>
    <t>602-Odontologia</t>
  </si>
  <si>
    <t>611-Odontologia−Ribeirao Preto</t>
  </si>
  <si>
    <t>621-Odontologia−Bauru</t>
  </si>
  <si>
    <t>632-Fonoaudiologia</t>
  </si>
  <si>
    <t>641-Fonoaudiologia−Bauru</t>
  </si>
  <si>
    <t>651-Ortoptica</t>
  </si>
  <si>
    <t>662-Fisioterapia</t>
  </si>
  <si>
    <t>672-Terapia Ocupacional</t>
  </si>
  <si>
    <t>681-Nutricao</t>
  </si>
  <si>
    <t>701-Psicologia−USP−Capital</t>
  </si>
  <si>
    <t>711-Psicologia</t>
  </si>
  <si>
    <t>731-Educacao Fisica−USP</t>
  </si>
  <si>
    <t>741-Esporte</t>
  </si>
  <si>
    <t>751-Educacao Fisica−Ufscar</t>
  </si>
  <si>
    <t>762-Engenharia Agronomica</t>
  </si>
  <si>
    <t>771-Engenharia Florestal</t>
  </si>
  <si>
    <t>799-Treineiro de Humanidades</t>
  </si>
  <si>
    <t>800-Engenharia e Ciencias Exatas</t>
  </si>
  <si>
    <t>813-Engenharia Sao Carlos</t>
  </si>
  <si>
    <t>821-Engenharia Civil−Sao Carlos</t>
  </si>
  <si>
    <t>836-Engenharia−Ufscar</t>
  </si>
  <si>
    <t>841-Engenharia Civil−Sao Carlos−Ufscar</t>
  </si>
  <si>
    <t>851-Ciencias Exatas−Sao Carlos</t>
  </si>
  <si>
    <t>863-Matematica/Estatistica−Sao Carlos</t>
  </si>
  <si>
    <t>872-Computacao−Sao Carlos</t>
  </si>
  <si>
    <t>884-Licenciatura em Matematica/Fisica</t>
  </si>
  <si>
    <t>895-Fisica/Meteorologia</t>
  </si>
  <si>
    <t>901-Quimica</t>
  </si>
  <si>
    <t>921-Quimica−Ribeirao Preto</t>
  </si>
  <si>
    <t>932-Quimica−Sao Carlos</t>
  </si>
  <si>
    <t>952-Ciencias da Terra</t>
  </si>
  <si>
    <t>999-Treineiro de Exatas</t>
  </si>
  <si>
    <t>101-Musica</t>
  </si>
  <si>
    <t>142-Biblioteconomia</t>
  </si>
  <si>
    <t>151-Biblioteconomia − Ufscar</t>
  </si>
  <si>
    <t>241-Ciencias Sociais − Ufscar</t>
  </si>
  <si>
    <t>311-Administracao − Ribeirao Preto</t>
  </si>
  <si>
    <t>331-Ciencias Contabeis − Rib Preto</t>
  </si>
  <si>
    <t>351-Economia − Ribeirao Preto</t>
  </si>
  <si>
    <t>361-Arquitetura − FAU</t>
  </si>
  <si>
    <t>371-Arquitetura − Sao Carlos</t>
  </si>
  <si>
    <t>401-Pedagogia − Ufscar</t>
  </si>
  <si>
    <t>499-Treineiros de Humanidades</t>
  </si>
  <si>
    <t>521-Ciencias Biologicas−Rib Preto</t>
  </si>
  <si>
    <t>541-Enfermagem − Ribeirao Preto</t>
  </si>
  <si>
    <t>552-Farmacia Bioquimica</t>
  </si>
  <si>
    <t>561-Farm Bioquimica − Rib Preto</t>
  </si>
  <si>
    <t>591-Zootecnia−Pirassunuga</t>
  </si>
  <si>
    <t>602-Odontologia−Sao Paulo</t>
  </si>
  <si>
    <t>611-Odontologia − Ribeirao Preto</t>
  </si>
  <si>
    <t>621-Odontologia − Bauru</t>
  </si>
  <si>
    <t>632-Fonoaudiologia−Sao Paulo</t>
  </si>
  <si>
    <t>641-Fonoaudiologia − Bauru</t>
  </si>
  <si>
    <t>661-Fisioterapia</t>
  </si>
  <si>
    <t>671-Fisioterapia−Ufscar</t>
  </si>
  <si>
    <t>701-Psicologia − USP − Capital</t>
  </si>
  <si>
    <t>712-Psicologia</t>
  </si>
  <si>
    <t>731-Educacao Fisica − USP</t>
  </si>
  <si>
    <t>751-Educacao Fisica − Ufscar</t>
  </si>
  <si>
    <t>799-Treineiros de Biologicas</t>
  </si>
  <si>
    <t>813-Engenharia − Sao Carlos</t>
  </si>
  <si>
    <t>821-Engenharia Civil−Sao Carlos−USP</t>
  </si>
  <si>
    <t>836-Engenharia−Ufscar−Sao Carlos</t>
  </si>
  <si>
    <t>841-Engenharia Civil−Ufscar−Sao Carlos</t>
  </si>
  <si>
    <t>893-Fisica/Meteorologia−Sao Paulo</t>
  </si>
  <si>
    <t>902-Fisica−Sao Carlos</t>
  </si>
  <si>
    <t>921-Quimica−Sao Paulo</t>
  </si>
  <si>
    <t>931-Quimica−Ribeirao Preto</t>
  </si>
  <si>
    <t>942-Quimica−Sao Carlos</t>
  </si>
  <si>
    <t>999-Treineiros de Exatas</t>
  </si>
  <si>
    <t>111-Artes Cenicas Bacharelado</t>
  </si>
  <si>
    <t>121-Artes Cenicas − Licenciatura</t>
  </si>
  <si>
    <t>171-Imagem e Som − Ufscar</t>
  </si>
  <si>
    <t>181-Editoracao</t>
  </si>
  <si>
    <t>201-Radialismo</t>
  </si>
  <si>
    <t>291-Licenciatura em Letras − Ufscar</t>
  </si>
  <si>
    <t>302-Administracao</t>
  </si>
  <si>
    <t>331-Ciencias Contabeis − Ribeirao Preto</t>
  </si>
  <si>
    <t>511-Ciencias Biologicas − Unifesp</t>
  </si>
  <si>
    <t>521-Ciencias Biologicas − Ribeirao Preto</t>
  </si>
  <si>
    <t>552-Farmacia − Bioquimica</t>
  </si>
  <si>
    <t>561-Farmacia − Bioquimica − Ribeirao Preto</t>
  </si>
  <si>
    <t>591-Zootecnia − Pirassununga</t>
  </si>
  <si>
    <t>671-Fisioterapia − Ufscar</t>
  </si>
  <si>
    <t>701-Psicologia</t>
  </si>
  <si>
    <t>712-Psicologia − Interior</t>
  </si>
  <si>
    <t>731-Educacao Fisica</t>
  </si>
  <si>
    <t>813-Engenharia − USP − Sao Carlos</t>
  </si>
  <si>
    <t>821-Engenharia Civil − USP − Sao Carlos</t>
  </si>
  <si>
    <t>836-Engenharia − Ufscar</t>
  </si>
  <si>
    <t>841-Engenharia Civil − Ufscar</t>
  </si>
  <si>
    <t>851-Ciencias Exatas − Sao Carlos</t>
  </si>
  <si>
    <t>864-Matematica/Estatistica − Sao Carlos</t>
  </si>
  <si>
    <t>872-Computacao − Sao Carlos</t>
  </si>
  <si>
    <t>884-Licenciatura em Matematica/Fisica − SP</t>
  </si>
  <si>
    <t>921-Quimica</t>
  </si>
  <si>
    <t>931-Quimica − Ribeirao Preto</t>
  </si>
  <si>
    <t>941-Quimica − USP − Sao Carlos</t>
  </si>
  <si>
    <t>951-Quimica − Ufscar</t>
  </si>
  <si>
    <t>962-Ciencias da Terra</t>
  </si>
  <si>
    <t>111-Artes Cenicas − Bacharelado</t>
  </si>
  <si>
    <t>292-Licenciatura em Letras − Ufscar</t>
  </si>
  <si>
    <t>411-Oficial da Policia Militar do Est. SP</t>
  </si>
  <si>
    <t>499-Treineiros de Humanas</t>
  </si>
  <si>
    <t>631-Fonoaudiologia</t>
  </si>
  <si>
    <t>641-Fonoaudiologia − Unifesp</t>
  </si>
  <si>
    <t>651-Fonoaudiologia − Bauru</t>
  </si>
  <si>
    <t>661-Ortoptica e Tecnologia Oftalmica</t>
  </si>
  <si>
    <t>671-Fisioterapia</t>
  </si>
  <si>
    <t>681-Fisioterapia − Ufscar</t>
  </si>
  <si>
    <t>692-Terapia Ocupacional</t>
  </si>
  <si>
    <t>701-Nutricao</t>
  </si>
  <si>
    <t>722-Psicologia − Interior</t>
  </si>
  <si>
    <t>799-Treineros de Biologia</t>
  </si>
  <si>
    <t>813-Engenharia − USP / Sao Carlos</t>
  </si>
  <si>
    <t>821-Engenharia Civil − USP / Sao Carlos</t>
  </si>
  <si>
    <t>851-Lic. em Ciencias Exatas − USP/Sao Carlos</t>
  </si>
  <si>
    <t>864-Matematica/Estatistica Sao Carlos</t>
  </si>
  <si>
    <t>171-Imagem e Som−Ufscar</t>
  </si>
  <si>
    <t>292-Licenciatura em Letras−Ufscar</t>
  </si>
  <si>
    <t>361-Arquitetura−FAU</t>
  </si>
  <si>
    <t>411-Oficial da Pm do Estado de Sao Paulo (M)</t>
  </si>
  <si>
    <t>421-Oficial da Pm do Estado de Sao Paulo (F)</t>
  </si>
  <si>
    <t>431-Economia Agroindustrial</t>
  </si>
  <si>
    <t>499-Treineiro H</t>
  </si>
  <si>
    <t>511-Ciencias Biologicas−Unifesp</t>
  </si>
  <si>
    <t>591-Zootecnia−Pirassununga</t>
  </si>
  <si>
    <t>641-Fonoaudiologia−Unifesp</t>
  </si>
  <si>
    <t>651-Fonoaudiologia−Bauru</t>
  </si>
  <si>
    <t>661-Tecnologia Oftalmica</t>
  </si>
  <si>
    <t>681-Fisioterapia−Ufscar</t>
  </si>
  <si>
    <t>722-Psicologia−Interior</t>
  </si>
  <si>
    <t>761-Engenharia Agronomica</t>
  </si>
  <si>
    <t>771-Engenharia Agronomica−Ufscar</t>
  </si>
  <si>
    <t>781-Engenharia Florestal</t>
  </si>
  <si>
    <t>799-Treineiro B</t>
  </si>
  <si>
    <t>813-Engenharia−USP/Sao Carlos</t>
  </si>
  <si>
    <t>821-Engenharia Civil−USP/Sao Carlos</t>
  </si>
  <si>
    <t>841-Engenharia Civil−Ufscar</t>
  </si>
  <si>
    <t>851-Lic em Ciencias Exatas−USP/Sao Carlos</t>
  </si>
  <si>
    <t>864-Matematica/Estatistica−Sao Carlos</t>
  </si>
  <si>
    <t>941-Quimica−USP−Sao Carlos</t>
  </si>
  <si>
    <t>951-Quimica−Ufscar</t>
  </si>
  <si>
    <t>999-Treineiros E</t>
  </si>
  <si>
    <t>192-Jornalismo</t>
  </si>
  <si>
    <t>202-Publicidade e Propaganda</t>
  </si>
  <si>
    <t>211-Radialismo</t>
  </si>
  <si>
    <t>222-Relacoes Publicas</t>
  </si>
  <si>
    <t>231-Turismo</t>
  </si>
  <si>
    <t>242-Ciencias Sociais</t>
  </si>
  <si>
    <t>251-Ciencias Sociais − Ufscar</t>
  </si>
  <si>
    <t>262-Filosofia</t>
  </si>
  <si>
    <t>272-Geografia</t>
  </si>
  <si>
    <t>282-Historia</t>
  </si>
  <si>
    <t>292-Letras</t>
  </si>
  <si>
    <t>302-Licenciatura em Letras − Ufscar</t>
  </si>
  <si>
    <t>312-Administracao</t>
  </si>
  <si>
    <t>321-Administracao − Ribeirao Preto</t>
  </si>
  <si>
    <t>332-Ciencias Contabeis</t>
  </si>
  <si>
    <t>341-Ciencias Contabeis − Ribeirao Preto</t>
  </si>
  <si>
    <t>352-Economia</t>
  </si>
  <si>
    <t>361-Economia − Ribeirao Preto</t>
  </si>
  <si>
    <t>371-Arquitetura − FAU</t>
  </si>
  <si>
    <t>381-Arquitetura − Sao Carlos</t>
  </si>
  <si>
    <t>392-Direito</t>
  </si>
  <si>
    <t>402-Pedagogia</t>
  </si>
  <si>
    <t>411-Pedagogia − Ufscar</t>
  </si>
  <si>
    <t>421-Economia Agroindustrial</t>
  </si>
  <si>
    <t>431-Oficial da Policia Militar (Masculino)</t>
  </si>
  <si>
    <t>441-Oficial da Policia Militar (Feminino)</t>
  </si>
  <si>
    <t>499-Treinamento H (Humanidades)</t>
  </si>
  <si>
    <t>561-Farmacia − Bioquimica USP/Ribeirao Preto</t>
  </si>
  <si>
    <t>761-Engenharia Agronomica − ESALQ/USP</t>
  </si>
  <si>
    <t>771-Engenharia Agronomica − Ufscar</t>
  </si>
  <si>
    <t>799-Treinamento B (Ciencias Biologicas)</t>
  </si>
  <si>
    <t>804-Engenharia e Ciencias Exatas</t>
  </si>
  <si>
    <t>811-Engenharia Civil − Sao Carlos</t>
  </si>
  <si>
    <t>823-Engenharia USP/Sao Carlos</t>
  </si>
  <si>
    <t>831-Engenharia Civil − Ufscar</t>
  </si>
  <si>
    <t>846-Engenharia −Ufscar</t>
  </si>
  <si>
    <t>851-Lic. em Ciencias Exatas USP/Sao Carlos</t>
  </si>
  <si>
    <t>863-Matematica/Estatistica Ufscar</t>
  </si>
  <si>
    <t>892-Ciencias da Terra</t>
  </si>
  <si>
    <t>905-Fisica/Meteorologia</t>
  </si>
  <si>
    <t>911-Quimica</t>
  </si>
  <si>
    <t>921-Quimica − USP/Ribeirao Preto</t>
  </si>
  <si>
    <t>931-Quimica − USP/Sao Carlos</t>
  </si>
  <si>
    <t>941-Quimica − Ufscar</t>
  </si>
  <si>
    <t>999-Treinamento e (Ciencias Exatas)</t>
  </si>
  <si>
    <t>102-Administracao − Sao Paulo</t>
  </si>
  <si>
    <t>111-Administracao − Ribeirao Preto</t>
  </si>
  <si>
    <t>121-Arquitetura − FAU</t>
  </si>
  <si>
    <t>131-Arquitetura − Sao Carlos</t>
  </si>
  <si>
    <t>141-Artes Cenicas − Bacharelado</t>
  </si>
  <si>
    <t>151-Artes Cenicas − Licenciatura</t>
  </si>
  <si>
    <t>161-Artes Plasticas</t>
  </si>
  <si>
    <t>172-Biblioteconomia</t>
  </si>
  <si>
    <t>182-Ciencias Contabeis − Sao Paulo</t>
  </si>
  <si>
    <t>191-Ciencias Contabeis − Ribeirao Preto</t>
  </si>
  <si>
    <t>202-Ciencias Sociais</t>
  </si>
  <si>
    <t>211-Curso Superior do Audiovisual</t>
  </si>
  <si>
    <t>222-Direito</t>
  </si>
  <si>
    <t>232-Economia − Sao Paulo</t>
  </si>
  <si>
    <t>241-Economia Agroindustrial</t>
  </si>
  <si>
    <t>251-Economia − Ribeirao Preto</t>
  </si>
  <si>
    <t>261-Editoracao</t>
  </si>
  <si>
    <t>272-Filosofia</t>
  </si>
  <si>
    <t>282-Geografia</t>
  </si>
  <si>
    <t>292-Historia</t>
  </si>
  <si>
    <t>302-Jornalismo</t>
  </si>
  <si>
    <t>312-Letras</t>
  </si>
  <si>
    <t>321-Musica</t>
  </si>
  <si>
    <t>331-Oficial da Pm do Estado de SP (Feminino)</t>
  </si>
  <si>
    <t>341-Oficial da Pm do Estado de SP(Masculino)</t>
  </si>
  <si>
    <t>352-Pedagogia</t>
  </si>
  <si>
    <t>362-Publicidade e Propaganda</t>
  </si>
  <si>
    <t>372-Relacoes Publicas</t>
  </si>
  <si>
    <t>381-Turismo</t>
  </si>
  <si>
    <t>502-Ciencias Biologicas − Sao Paulo</t>
  </si>
  <si>
    <t>511-Ciencias Biologicas − Ribeirao Preto</t>
  </si>
  <si>
    <t>521-Ciencias Biologicas − Unifesp</t>
  </si>
  <si>
    <t>531-Educacao Fisica</t>
  </si>
  <si>
    <t>542-Enfermagem − Sao Paulo</t>
  </si>
  <si>
    <t>551-Enfermagem − Ribeirao Preto</t>
  </si>
  <si>
    <t>561-Engenharia Agronomica − ESALQ</t>
  </si>
  <si>
    <t>581-Engenharia Florestal</t>
  </si>
  <si>
    <t>591-Esporte</t>
  </si>
  <si>
    <t>602-Farmacia − Bioquimica − Sao Paulo</t>
  </si>
  <si>
    <t>611-Farmacia − Bioquimica − Ribeirao Preto</t>
  </si>
  <si>
    <t>621-Fisioterapia − Sao Paulo</t>
  </si>
  <si>
    <t>642-Fonoaudiologia − Sao Paulo</t>
  </si>
  <si>
    <t>664-Medicina e Ciencias Medicas</t>
  </si>
  <si>
    <t>671-Medicina Veterinaria</t>
  </si>
  <si>
    <t>692-Odontologia − Sao Paulo</t>
  </si>
  <si>
    <t>701-Odontologia − Bauru</t>
  </si>
  <si>
    <t>711-Odontologia − Ribeirao Preto</t>
  </si>
  <si>
    <t>721-Psicologia − Sao Paulo</t>
  </si>
  <si>
    <t>731-Psicologia − Ribeirao Preto</t>
  </si>
  <si>
    <t>741-Tecnologia Oftalmica − Unifesp</t>
  </si>
  <si>
    <t>751-Terapia Ocupacional</t>
  </si>
  <si>
    <t>761-Zootecnia − Pirassununga</t>
  </si>
  <si>
    <t>799-Treineiro de Biologicas</t>
  </si>
  <si>
    <t>802-Ciencias da Terra</t>
  </si>
  <si>
    <t>812-Computacao − Sao Carlos</t>
  </si>
  <si>
    <t>823-Engenharia e Ciencias Exatas</t>
  </si>
  <si>
    <t>831-Engenharia Civil − Sao Carlos</t>
  </si>
  <si>
    <t>843-Engenharia − Sao Carlos</t>
  </si>
  <si>
    <t>851-Fisica Medica − Ribeirao Preto</t>
  </si>
  <si>
    <t>864-Fisica / Meteorologia</t>
  </si>
  <si>
    <t>871-Licenc em Ciencias Exatas − Sao Carlos</t>
  </si>
  <si>
    <t>884-Licenciatura em Matematica / Fisica</t>
  </si>
  <si>
    <t>892-Matematica − Sao Carlos</t>
  </si>
  <si>
    <t>901-Quimica − Sao Paulo</t>
  </si>
  <si>
    <t>911-Quimica − Ribeirao Preto</t>
  </si>
  <si>
    <t>921-Quimica − Sao Carlos</t>
  </si>
  <si>
    <t>331-Oficial da Policia Militar SP Feminino</t>
  </si>
  <si>
    <t>341-Oficial da Policia Militar SP Masculino</t>
  </si>
  <si>
    <t>499-Treinamento H</t>
  </si>
  <si>
    <t>571-Engenharia Florestal</t>
  </si>
  <si>
    <t>581-Esporte</t>
  </si>
  <si>
    <t>591-Farmacia − Bioquimica − Ribeirao Preto</t>
  </si>
  <si>
    <t>611-Fisioterapia − Sao Paulo</t>
  </si>
  <si>
    <t>622-Fonoaudiologia − Sao Paulo</t>
  </si>
  <si>
    <t>631-Fonoaudiologia − Bauru</t>
  </si>
  <si>
    <t>644-Medicina e Ciencias Medicas</t>
  </si>
  <si>
    <t>651-Medicina Veterinaria</t>
  </si>
  <si>
    <t>662-Nutricao</t>
  </si>
  <si>
    <t>672-Odontologia − Sao Paulo</t>
  </si>
  <si>
    <t>681-Odontologia − Bauru</t>
  </si>
  <si>
    <t>691-Odontologia − Ribeirao Preto</t>
  </si>
  <si>
    <t>701-Psicologia − Sao Paulo</t>
  </si>
  <si>
    <t>711-Psicologia − Ribeirao Preto</t>
  </si>
  <si>
    <t>721-Tecnologia Oftalmica − Unifesp</t>
  </si>
  <si>
    <t>731-Terapia Ocupacional</t>
  </si>
  <si>
    <t>741-Zootecnia − Pirassununga</t>
  </si>
  <si>
    <t>751-Ciencias dos Alimentos − Piracicaba</t>
  </si>
  <si>
    <t>761-Engenharia de Alimentos − Pirassununga</t>
  </si>
  <si>
    <t>799-Treinamento B</t>
  </si>
  <si>
    <t>811-Computacao − Sao Carlos</t>
  </si>
  <si>
    <t>823-Engenharia ,Computacao e Matematica</t>
  </si>
  <si>
    <t>871-Informatica − Sao Carlos</t>
  </si>
  <si>
    <t>881-Licenc. em Ciencias Exatas − Sao Carlos</t>
  </si>
  <si>
    <t>894-Licenciatura em Matematica / Fisica</t>
  </si>
  <si>
    <t>902-Matematica − Sao Carlos</t>
  </si>
  <si>
    <t>911-Quimica − Sao Paulo</t>
  </si>
  <si>
    <t>921-Quimica − Ribeirao Preto</t>
  </si>
  <si>
    <t>931-Quimica − Sao Carlos</t>
  </si>
  <si>
    <t>999-Treinamento e</t>
  </si>
  <si>
    <t>200-Administracao − Ribeirao Preto</t>
  </si>
  <si>
    <t>202-Administracao − Sao Paulo</t>
  </si>
  <si>
    <t>204-Arquitetura − FAU</t>
  </si>
  <si>
    <t>206-Arquitetura − Sao Carlos</t>
  </si>
  <si>
    <t>208-Artes Cenicas − Bacharelado</t>
  </si>
  <si>
    <t>220-Artes Cenicas − Licenciatura</t>
  </si>
  <si>
    <t>222-Artes Plasticas</t>
  </si>
  <si>
    <t>224-Biblioteconomia</t>
  </si>
  <si>
    <t>226-Ciencias Contabeis − Ribeirao Preto</t>
  </si>
  <si>
    <t>228-Ciencias Contabeis − Sao Paulo</t>
  </si>
  <si>
    <t>230-Ciencias Sociais</t>
  </si>
  <si>
    <t>232-Curso Superior do Audiovisual</t>
  </si>
  <si>
    <t>234-Direito</t>
  </si>
  <si>
    <t>236-Economia Agroindustrial</t>
  </si>
  <si>
    <t>238-Economia − Ribeirao Preto</t>
  </si>
  <si>
    <t>240-Economia − Sao Paulo</t>
  </si>
  <si>
    <t>242-Editoracao</t>
  </si>
  <si>
    <t>244-Filosofia</t>
  </si>
  <si>
    <t>246-Geografia</t>
  </si>
  <si>
    <t>248-Gestao Ambiental</t>
  </si>
  <si>
    <t>250-Historia</t>
  </si>
  <si>
    <t>252-Jornalismo</t>
  </si>
  <si>
    <t>254-Letras</t>
  </si>
  <si>
    <t>256-Musica − Sao Paulo</t>
  </si>
  <si>
    <t>258-Musica − Ribeirao Preto</t>
  </si>
  <si>
    <t>260-Oficial da Pm do Estado de SP (Feminino)</t>
  </si>
  <si>
    <t>262-Oficial da Pm do Estado de SP(Masculino)</t>
  </si>
  <si>
    <t>264-Pedagogia − Ribeirao Preto</t>
  </si>
  <si>
    <t>266-Pedagogia − Sao Paulo</t>
  </si>
  <si>
    <t>268-Publicidade e Propaganda</t>
  </si>
  <si>
    <t>280-Relacoes Internacionais</t>
  </si>
  <si>
    <t>282-Relacoes Publicas</t>
  </si>
  <si>
    <t>284-Turismo</t>
  </si>
  <si>
    <t>299-Treineiros Humanidades</t>
  </si>
  <si>
    <t>400-Agrobiologia − Piracicaba</t>
  </si>
  <si>
    <t>402-Ciencias Biologicas − Ribeirao Preto</t>
  </si>
  <si>
    <t>404-Ciencias Biologicas − Sao Paulo</t>
  </si>
  <si>
    <t>406-Ciencias dos Alimentos − Piracicaba</t>
  </si>
  <si>
    <t>408-Educacao Fisica</t>
  </si>
  <si>
    <t>420-Enfermagem − Ribeirao Preto</t>
  </si>
  <si>
    <t>422-Enfermagem − Sao Paulo</t>
  </si>
  <si>
    <t>424-Engenharia Agronomica − ESALQ</t>
  </si>
  <si>
    <t>426-Engenharia Florestal</t>
  </si>
  <si>
    <t>428-Esporte</t>
  </si>
  <si>
    <t>430-Farmacia Bioquimica − Ribeirao Preto</t>
  </si>
  <si>
    <t>432-Farmacia Bioquimica − Sao Paulo</t>
  </si>
  <si>
    <t>434-Fisioterapia</t>
  </si>
  <si>
    <t>436-Fonoaudiologia − Bauru</t>
  </si>
  <si>
    <t>438-Fonoaudiologia − Sao Paulo</t>
  </si>
  <si>
    <t>440-Medicina e Ciencias Medicas</t>
  </si>
  <si>
    <t>442-Medicina Veterinaria</t>
  </si>
  <si>
    <t>444-Nutricao</t>
  </si>
  <si>
    <t>446-Odontologia − Bauru</t>
  </si>
  <si>
    <t>448-Odontologia − Ribeirao Preto</t>
  </si>
  <si>
    <t>450-Odontologia − Sao Paulo</t>
  </si>
  <si>
    <t>452-Psicologia − Ribeirao Preto</t>
  </si>
  <si>
    <t>454-Psicologia − Sao Paulo</t>
  </si>
  <si>
    <t>456-Terapia Ocupacional</t>
  </si>
  <si>
    <t>458-Zootecnia − Pirassununga</t>
  </si>
  <si>
    <t>499-Treineiros Biologicas</t>
  </si>
  <si>
    <t>600-Ciencias da Terra</t>
  </si>
  <si>
    <t>602-Computacao − Sao Carlos</t>
  </si>
  <si>
    <t>604-Engenharia Aeronautica</t>
  </si>
  <si>
    <t>606-Engenharia, Computacao e Matem. Aplicada</t>
  </si>
  <si>
    <t>608-Engenharia Civil − Sao Carlos</t>
  </si>
  <si>
    <t>620-Engenharia de Alimentos − Pirassununga</t>
  </si>
  <si>
    <t>622-Engenharia − Sao Carlos</t>
  </si>
  <si>
    <t>624-Fisica Medica − Ribeirao Preto</t>
  </si>
  <si>
    <t>626-Fisica/Meteorologia/Estatist./Matematica</t>
  </si>
  <si>
    <t>628-Informatica − Sao Carlos</t>
  </si>
  <si>
    <t>630-Licenc. em Ciencias Exatas − Sao Carlos</t>
  </si>
  <si>
    <t>632-Licenciatura em Matematica / Fisica</t>
  </si>
  <si>
    <t>634-Matematica − Sao Carlos</t>
  </si>
  <si>
    <t>636-Oceanografia</t>
  </si>
  <si>
    <t>638-Quimica − Sao Paulo</t>
  </si>
  <si>
    <t>640-Quimica − Ribeirao Preto</t>
  </si>
  <si>
    <t>642-Quimica − Sao Carlos</t>
  </si>
  <si>
    <t>699-Treineiros Exatas</t>
  </si>
  <si>
    <t>100-Administração − Ribeirão Preto</t>
  </si>
  <si>
    <t>105-Arquitetura − FAU</t>
  </si>
  <si>
    <t>110-Arquitetura − São Carlos</t>
  </si>
  <si>
    <t>115-Artes Cênicas − Bacharelado</t>
  </si>
  <si>
    <t>120-Artes Cênicas − Licenciatura</t>
  </si>
  <si>
    <t>125-Artes Visuais</t>
  </si>
  <si>
    <t>130-Biblioteconomia</t>
  </si>
  <si>
    <t>135-Ciências Contábeis − Ribeirão Preto</t>
  </si>
  <si>
    <t>140-Ciências da Informação e da Documentação − Ribeirão Preto</t>
  </si>
  <si>
    <t>145-Ciências Sociais</t>
  </si>
  <si>
    <t>150-Curso Superior do Audiovisual</t>
  </si>
  <si>
    <t>155-Design</t>
  </si>
  <si>
    <t>160-Direito</t>
  </si>
  <si>
    <t>165-Economia, Administração, Ciências Contábeis e Atuária</t>
  </si>
  <si>
    <t>170-Economia Empresarial e Controladoria − Ribeirão Preto</t>
  </si>
  <si>
    <t>175-Economia − Piracicaba</t>
  </si>
  <si>
    <t>180-Economia − Ribeirão Preto</t>
  </si>
  <si>
    <t>185-Editoração</t>
  </si>
  <si>
    <t>190-Filosofia</t>
  </si>
  <si>
    <t>195-Geografia</t>
  </si>
  <si>
    <t>200-Gestão Ambiental − USP Leste, SP</t>
  </si>
  <si>
    <t>205-Gestão Ambiental − Piracicaba</t>
  </si>
  <si>
    <t>210-Gestão de Políticas Públicas − USP Leste, SP</t>
  </si>
  <si>
    <t>215-História</t>
  </si>
  <si>
    <t>220-Jornalismo</t>
  </si>
  <si>
    <t>225-Lazer e Turismo − USP Leste, SP</t>
  </si>
  <si>
    <t>230-Licenciatura em Educomunicação</t>
  </si>
  <si>
    <t>235-Letras</t>
  </si>
  <si>
    <t>240-Marketing − USP Leste, SP</t>
  </si>
  <si>
    <t>245-Música − ECA</t>
  </si>
  <si>
    <t>250-Música − Ribeirão Preto</t>
  </si>
  <si>
    <t>255-Pedagogia</t>
  </si>
  <si>
    <t>260-Pedagogia − Ribeirão Preto</t>
  </si>
  <si>
    <t>265-Publicidade e Propaganda</t>
  </si>
  <si>
    <t>270-Relações Internacionais</t>
  </si>
  <si>
    <t>275-Relações Públicas</t>
  </si>
  <si>
    <t>280-Têxtil e Moda − USP Leste, SP</t>
  </si>
  <si>
    <t>285-Turismo</t>
  </si>
  <si>
    <t>399-Humanas</t>
  </si>
  <si>
    <t>400-Ciências Biológicas</t>
  </si>
  <si>
    <t>405-Ciências Biológicas − Piracicaba</t>
  </si>
  <si>
    <t>410-Ciências Biológicas − Ribeirão Preto</t>
  </si>
  <si>
    <t>415-Ciências Biomédicas</t>
  </si>
  <si>
    <t>420-Ciências da Atividade Física − USP Leste, SP</t>
  </si>
  <si>
    <t>425-Ciências dos Alimentos − Piracicaba</t>
  </si>
  <si>
    <t>430-Educação Física e Esporte</t>
  </si>
  <si>
    <t>435-Educação Física − Ribeirão Preto</t>
  </si>
  <si>
    <t>440-Enfermagem</t>
  </si>
  <si>
    <t>445-Enfermagem − Ribeirão Preto</t>
  </si>
  <si>
    <t>450-Engenharia Agronômica − Piracicaba</t>
  </si>
  <si>
    <t>455-Engenharia Florestal − Piracicaba</t>
  </si>
  <si>
    <t>460-Farmácia−Bioquímica</t>
  </si>
  <si>
    <t>465-Farmácia−Bioquímica − Ribeirão Preto</t>
  </si>
  <si>
    <t>470-Fisioterapia</t>
  </si>
  <si>
    <t>475-Fisioterapia − Ribeirão Preto</t>
  </si>
  <si>
    <t>480-Fonoaudiologia</t>
  </si>
  <si>
    <t>485-Fonoaudiologia − Bauru</t>
  </si>
  <si>
    <t>490-Fonoaudiologia − Ribeirão Preto</t>
  </si>
  <si>
    <t>495-Gerontologia − USP Leste, SP</t>
  </si>
  <si>
    <t>500-Medicina</t>
  </si>
  <si>
    <t>505-Ciências Médicas − Ribeirão Preto</t>
  </si>
  <si>
    <t>510-Medicina Veterinária</t>
  </si>
  <si>
    <t>515-Medicina Veterinária − Pirassununga</t>
  </si>
  <si>
    <t>520-Nutrição</t>
  </si>
  <si>
    <t>525-Nutrição e Metabolismo − Ribeirão Preto</t>
  </si>
  <si>
    <t>530-Obstetrícia − USP Leste, SP</t>
  </si>
  <si>
    <t>535-Odontologia</t>
  </si>
  <si>
    <t>540-Odontologia − Bauru</t>
  </si>
  <si>
    <t>545-Odontologia − Ribeirão Preto</t>
  </si>
  <si>
    <t>550-Psicologia</t>
  </si>
  <si>
    <t>555-Psicologia − Ribeirão Preto</t>
  </si>
  <si>
    <t>560-Saúde Pública</t>
  </si>
  <si>
    <t>565-Terapia Ocupacional</t>
  </si>
  <si>
    <t>570-Terapia Ocupacional − Ribeirão Preto</t>
  </si>
  <si>
    <t>575-Zootecnia − Pirassununga</t>
  </si>
  <si>
    <t>699-Biológicas</t>
  </si>
  <si>
    <t>700-Ciências Biomoleculares − São Carlos</t>
  </si>
  <si>
    <t>705-Ciências da Natureza − USP Leste, SP</t>
  </si>
  <si>
    <t>710-Computação</t>
  </si>
  <si>
    <t>715-Engenharia Aeronáutica − São Carlos</t>
  </si>
  <si>
    <t>720-Engenharia Ambiental − Lorena</t>
  </si>
  <si>
    <t>725-Engenharia Ambiental − São Carlos</t>
  </si>
  <si>
    <t>730-Engenharia Bioquímica − Lorena</t>
  </si>
  <si>
    <t>735-Engenharia Civil − São Carlos</t>
  </si>
  <si>
    <t>740-Engenharia de Alimentos − Pirassununga</t>
  </si>
  <si>
    <t>745-Engenharia de Biossistemas − Pirassununga</t>
  </si>
  <si>
    <t>750-Engenharia de Materiais − Lorena</t>
  </si>
  <si>
    <t>755-Engenharia de Materiais e Manufatura − São Carlos</t>
  </si>
  <si>
    <t>760-Engenharia de Produção − Lorena</t>
  </si>
  <si>
    <t>765-Engenharia Elétrica e Computação − São Carlos</t>
  </si>
  <si>
    <t>770-Engenharia Física − Lorena</t>
  </si>
  <si>
    <t>775-Engenharia na Escola Politécnica</t>
  </si>
  <si>
    <t>780-Engenharia Química − Lorena</t>
  </si>
  <si>
    <t>785-Engenharia − São Carlos</t>
  </si>
  <si>
    <t>790-Física/Meteorologia/Geofísica/Astronomia/Estatística/Matemática/MatemáticaAplic.</t>
  </si>
  <si>
    <t>795-Física Médica − Ribeirão Preto</t>
  </si>
  <si>
    <t>800-Geologia</t>
  </si>
  <si>
    <t>805-Informática Biomédica − Ribeirão Preto</t>
  </si>
  <si>
    <t>810-Informática − São Carlos</t>
  </si>
  <si>
    <t>815-Licenciatura em Ciências Exatas − São Carlos</t>
  </si>
  <si>
    <t>820-Licenciatura em Geociências e Educação Ambiental</t>
  </si>
  <si>
    <t>825-Licenciatura em Matemática / Física</t>
  </si>
  <si>
    <t>830-Matemática Aplicada − Ribeirão Preto</t>
  </si>
  <si>
    <t>835-Matemática − São Carlos</t>
  </si>
  <si>
    <t>840-Oceanografia</t>
  </si>
  <si>
    <t>845-Química Ambiental</t>
  </si>
  <si>
    <t>850-Química (Bacharelados) − Ribeirão Preto</t>
  </si>
  <si>
    <t>855-Química − Bacharelado e Licenciatura</t>
  </si>
  <si>
    <t>860-Química − Licenciatura</t>
  </si>
  <si>
    <t>865-Química − Licenciatura − Ribeirão Preto</t>
  </si>
  <si>
    <t>870-Química (Bacharelados) − São Carlos</t>
  </si>
  <si>
    <t>999-Exatas</t>
  </si>
  <si>
    <t>101-Administração − Piracicaba</t>
  </si>
  <si>
    <t>765-Engenharia Elétrica e de Computação − São Carlos</t>
  </si>
  <si>
    <t>790-Física / Meteorologia / Geofísica / Astronomia / Estatística / Matemática / Mate</t>
  </si>
  <si>
    <t>399-Treinamento Humanas</t>
  </si>
  <si>
    <t>416-Ciências Biomédicas − Ribeirão Preto</t>
  </si>
  <si>
    <t>435-Educação Física e Esporte − Ribeirão Preto</t>
  </si>
  <si>
    <t>436-Educação Física e Saúde − USP Leste, SP</t>
  </si>
  <si>
    <t>505-Medicina − Ribeirão Preto</t>
  </si>
  <si>
    <t>699-Treinamento Biológicas</t>
  </si>
  <si>
    <t>790-Fís. / Fís. Comput. / Meteor. / Geofís. / Astron. / Estatís. / Mat. / Mat. Apl.</t>
  </si>
  <si>
    <t>815-Licenciatura em Ciências Exatas (com habilitações) − São Carlos</t>
  </si>
  <si>
    <t>999-Treinamento Exatas</t>
  </si>
  <si>
    <t>450-Engenharia Agronômica − Piracicaba(*)</t>
  </si>
  <si>
    <t>455-Engenharia Florestal − Piracicaba (*)</t>
  </si>
  <si>
    <t>810-Sistemas de Informação − São Carlos</t>
  </si>
  <si>
    <t>100-Administração, Ciências Contábeis, Economia, Economia Empresarial e Controla...</t>
  </si>
  <si>
    <t>115-Artes Cênicas</t>
  </si>
  <si>
    <t>400-Bacharelado em Biotecnologia − USP Leste, SP</t>
  </si>
  <si>
    <t>401-Ciências Biológicas</t>
  </si>
  <si>
    <t>501-Medicina − Bauru</t>
  </si>
  <si>
    <t>700-Ciências Físicas e Biomoleculares − São Carlos</t>
  </si>
  <si>
    <t>771-Engenharia Química − Lorena</t>
  </si>
  <si>
    <t>790-Física / Física Computacional / Meteorologia / Geofísica / Astronomia / Estatíst</t>
  </si>
  <si>
    <t>870-Química (Bacharelado e Bacharelado com Atribuições Tecnológicas com Ênfases...</t>
  </si>
  <si>
    <t>PONTOS CONVOCADOS</t>
  </si>
  <si>
    <t>100-Musica 30 79 2 48 1.60 96 50</t>
  </si>
  <si>
    <t>111-Artes Cenicas-Bacharelado 15 365 37 93 6.20 55 33</t>
  </si>
  <si>
    <t>121-Artes Cenicas-Licenciatura 10 101 9 39 3.90 55 27</t>
  </si>
  <si>
    <t>131-Artes Plasticas 20 476 38 101 5.05 55 33</t>
  </si>
  <si>
    <t>142-Biblioteconomia-USP 30 290 20 108 3.60 53 26</t>
  </si>
  <si>
    <t>151-Biblioteconomia-Ufscar 40 63 0 61 1.53 45 13</t>
  </si>
  <si>
    <t>161-Cinema e Video 15 301 18 72 4.80 59 40</t>
  </si>
  <si>
    <t>171-Producao Editorial 15 378 14 80 5.33 60 36</t>
  </si>
  <si>
    <t>182-Jornalismo 45 2497 120 338 7.51 67 41</t>
  </si>
  <si>
    <t>192-Publicidade e Propaganda 40 3342 120 368 9.20 66 40</t>
  </si>
  <si>
    <t>201-Radio e Televisao 20 494 27 101 5.05 58 36</t>
  </si>
  <si>
    <t>211-Relacoes Publicas 20 590 22 123 6.15 55 33</t>
  </si>
  <si>
    <t>221-Turismo 20 948 48 141 7.05 58 35</t>
  </si>
  <si>
    <t>232-Ciencias Sociais 200 1140 89 484 2.42 62 29</t>
  </si>
  <si>
    <t>241-Ciencias Sociais-Ufscar 40 168 10 91 2.28 48 25</t>
  </si>
  <si>
    <t>252-Filosofia 160 912 81 410 2.56 60 28</t>
  </si>
  <si>
    <t>262-Geografia 160 871 54 419 2.62 61 26</t>
  </si>
  <si>
    <t>272-Historia 260 1494 115 656 2.52 58 28</t>
  </si>
  <si>
    <t>280-Letras 875 4961 391 2230 2.55 63 26</t>
  </si>
  <si>
    <t>305-Administracao 400 8878 358 2017 5.04 68 38</t>
  </si>
  <si>
    <t>311-Administracao-Ribeirao Preto 40 811 36 191 4.78 58 36</t>
  </si>
  <si>
    <t>322-Ciencias Contabeis 140 2087 120 588 4.20 59 31</t>
  </si>
  <si>
    <t>331-Ciencias Contabeis-Ribeirao Preto 40 435 30 144 3.60 57 28</t>
  </si>
  <si>
    <t>342-Economia 180 2037 102 642 3.57 70 37</t>
  </si>
  <si>
    <t>351-Economia-Ribeirao Preto 40 396 16 137 3.43 59 33</t>
  </si>
  <si>
    <t>361-Arquitetura FAU 150 3064 85 715 4.77 65 39</t>
  </si>
  <si>
    <t>371-Arquitetura-Sao Carlos 30 554 14 133 4.43 55 36</t>
  </si>
  <si>
    <t>382-Direito 450 15884 885 2696 5.99 68 40</t>
  </si>
  <si>
    <t>392-Pedagogia 120 1913 111 519 4.33 60 26</t>
  </si>
  <si>
    <t>401-Pedagogia-Ufscar 50 167 6 93 1.86 41 21</t>
  </si>
  <si>
    <t>499-Treineiro de Biologicas 900 6202 236 2469 2.74 58 28</t>
  </si>
  <si>
    <t>503-Ciencias Biologicas 180 1773 62 585 3.25 69 34</t>
  </si>
  <si>
    <t>511-Ciencias Biologicas-Epm 23 366 14 99 4.30 63 36</t>
  </si>
  <si>
    <t>521-Ciencias Biologicas-Ribeirao Preto 40 465 8 141 3.53 52 34</t>
  </si>
  <si>
    <t>533-Enfermagem 190 1689 95 617 3.25 57 25</t>
  </si>
  <si>
    <t>541-Enfermagem-Ribeirao Preto 80 633 25 251 3.14 49 26</t>
  </si>
  <si>
    <t>552-Farmacia-Bioquimica 135 2653 93 614 4.55 63 37</t>
  </si>
  <si>
    <t>561-Farmacia-Bioquimica-Ribeirao Preto 50 1022 18 241 4.82 62 37</t>
  </si>
  <si>
    <t>574-Medicina e Ciencias Medicas 485 14235 334 2632 5.43 69 49</t>
  </si>
  <si>
    <t>581-Medicina Veterinaria 80 2619 68 478 5.98 67 39</t>
  </si>
  <si>
    <t>591-Zootecnia 30 367 9 113 3.77 58 32</t>
  </si>
  <si>
    <t>602-Odontologia 133 4514 101 773 5.81 64 39</t>
  </si>
  <si>
    <t>611-Odontologia-Ribeirao Preto 80 2065 31 436 5.45 61 39</t>
  </si>
  <si>
    <t>621-Odontologia-Bauru 50 839 14 208 4.16 60 39</t>
  </si>
  <si>
    <t>632-Fonoaudiologia 58 742 22 232 4.00 58 30</t>
  </si>
  <si>
    <t>641-Fonoaudiologia-Bauru 25 361 11 111 4.44 51 29</t>
  </si>
  <si>
    <t>651-Ortoptica 13 129 6 45 3.46 48 30</t>
  </si>
  <si>
    <t>662-Fisioterapia 65 2165 61 377 5.80 62 36</t>
  </si>
  <si>
    <t>672-Terapia Ocupacional 55 687 28 221 4.02 50 28</t>
  </si>
  <si>
    <t>681-Nutricao 40 1167 25 250 6.25 54 32</t>
  </si>
  <si>
    <t>701-Psicologia-USP-Capital 70 1749 103 356 5.09 62 34</t>
  </si>
  <si>
    <t>711-Psicologia 80 1622 75 403 5.04 61 31</t>
  </si>
  <si>
    <t>731-Educacao Fisica-USP 50 1344 81 274 5.48 58 29</t>
  </si>
  <si>
    <t>741-Esporte 50 541 38 177 3.54 54 28</t>
  </si>
  <si>
    <t>751-Educacao Fisica-Ufscar 40 333 19 120 3.00 52 24</t>
  </si>
  <si>
    <t>762-Engenharia Agronomica 240 1520 44 634 2.64 61 30</t>
  </si>
  <si>
    <t>771-Engenharia Florestal 40 202 9 92 2.30 53 27</t>
  </si>
  <si>
    <t>799-Treineiro de Humanidades 900 6187 186 2547 2.83 60 28</t>
  </si>
  <si>
    <t>800-Engenharia e Ciencias Exatas 844 12058 391 3202 3.79 70 43</t>
  </si>
  <si>
    <t>813-Engenharia Sao Carlos 120 1620 54 453 3.78 66 42</t>
  </si>
  <si>
    <t>821-Engenharia Civil-Sao Carlos 60 495 21 181 3.02 63 36</t>
  </si>
  <si>
    <t>836-Engenharia-Ufscar 230 1962 51 677 2.94 68 38</t>
  </si>
  <si>
    <t>841-Engenharia Civil-Sao Carlos-Ufscar 50 242 2 119 2.38 59 30</t>
  </si>
  <si>
    <t>851-Ciencias Exatas-Sao Carlos 40 154 13 79 1.98 52 25</t>
  </si>
  <si>
    <t>863-Matematica/Estatistica-Sao Carlos 130 328 21 205 1.58 60 22</t>
  </si>
  <si>
    <t>872-Computacao-Sao Carlos 100 2183 65 467 4.67 62 38</t>
  </si>
  <si>
    <t>884-Licenciatura em Matematica/Fisica 250 1330 87 622 2.49 55 26</t>
  </si>
  <si>
    <t>895-Fisica/Meteorologia 270 984 54 540 2.00 67 32</t>
  </si>
  <si>
    <t>901-Quimica 60 398 13 163 2.72 67 34</t>
  </si>
  <si>
    <t>921-Quimica-Ribeirao Preto 40 173 6 101 2.53 53 28</t>
  </si>
  <si>
    <t>932-Quimica-Sao Carlos 90 422 16 199 2.21 62 28</t>
  </si>
  <si>
    <t>952-Ciencias da Terra 70 381 22 167 2.39 62 29</t>
  </si>
  <si>
    <t>999-Treineiro de Exatas 900 3901 122 1943 2.16 61 29</t>
  </si>
  <si>
    <t>101-Musica 30 275 32 69 2.30 98 63</t>
  </si>
  <si>
    <t>111-Artes Cenicas-Bacharelado 15 381 21 64 4.27 127 70</t>
  </si>
  <si>
    <t>121-Artes Cenicas-Licenciatura 10 142 8 34 3.40 99 59</t>
  </si>
  <si>
    <t>131-Artes Plasticas 20 394 14 75 3.75 137 68</t>
  </si>
  <si>
    <t>142-Biblioteconomia 30 310 15 74 2.47 117 57</t>
  </si>
  <si>
    <t>151-Biblioteconomia - Ufscar 40 201 10 74 1.85 73 44</t>
  </si>
  <si>
    <t>161-Cinema e Video 15 358 33 74 4.93 124 82</t>
  </si>
  <si>
    <t>171-Producao Editorial 15 539 24 83 5.53 122 75</t>
  </si>
  <si>
    <t>182-Jornalismo 45 2583 77 327 7.27 132 80</t>
  </si>
  <si>
    <t>192-Publicidade e Propaganda 40 3400 104 338 8.45 136 79</t>
  </si>
  <si>
    <t>201-Radio e Televisao 20 518 11 97 4.85 126 71</t>
  </si>
  <si>
    <t>211-Relacoes Publicas 20 625 23 101 5.05 111 68</t>
  </si>
  <si>
    <t>221-Turismo 20 1024 27 121 6.05 110 70</t>
  </si>
  <si>
    <t>232-Ciencias Sociais 200 1354 86 411 2.06 123 62</t>
  </si>
  <si>
    <t>241-Ciencias Sociais - Ufscar 40 115 4 61 1.53 98 47</t>
  </si>
  <si>
    <t>252-Filosofia 160 615 67 234 1.46 126 60</t>
  </si>
  <si>
    <t>262-Geografia 160 695 32 241 1.51 106 57</t>
  </si>
  <si>
    <t>272-Historia 260 1527 82 501 1.93 124 61</t>
  </si>
  <si>
    <t>280-Letras 875 4652 308 1490 1.70 126 57</t>
  </si>
  <si>
    <t>305-Administracao 400 8992 316 1735 4.34 138 74</t>
  </si>
  <si>
    <t>311-Administracao - Ribeirao Preto 40 579 14 128 3.20 113 69</t>
  </si>
  <si>
    <t>322-Ciencias Contabeis 140 1968 87 419 2.99 125 64</t>
  </si>
  <si>
    <t>331-Ciencias Contabeis - Rib Preto 40 290 8 84 2.10 104 56</t>
  </si>
  <si>
    <t>342-Economia 180 1922 85 520 2.89 134 73</t>
  </si>
  <si>
    <t>351-Economia - Ribeirao Preto 40 317 6 100 2.50 117 67</t>
  </si>
  <si>
    <t>361-Arquitetura - FAU 150 3178 71 662 4.41 138 78</t>
  </si>
  <si>
    <t>371-Arquitetura - Sao Carlos 30 641 16 120 4.00 115 72</t>
  </si>
  <si>
    <t>382-Direito 450 16251 689 2566 5.70 139 76</t>
  </si>
  <si>
    <t>392-Pedagogia 120 1661 66 333 2.78 131 53</t>
  </si>
  <si>
    <t>401-Pedagogia - Ufscar 50 162 1 71 1.42 77 45</t>
  </si>
  <si>
    <t>499-Treineiros de Humanidades 600 6485 140 1540 2.57 118 61</t>
  </si>
  <si>
    <t>503-Ciencias Biologicas 180 2107 70 515 2.86 120 69</t>
  </si>
  <si>
    <t>511-Ciencias Biologicas-Epm 23 485 19 97 4.22 116 74</t>
  </si>
  <si>
    <t>521-Ciencias Biologicas-Rib Preto 40 277 8 94 2.35 104 68</t>
  </si>
  <si>
    <t>533-Enfermagem 190 1863 73 423 2.23 106 53</t>
  </si>
  <si>
    <t>541-Enfermagem - Ribeirao Preto 80 330 8 123 1.54 101 47</t>
  </si>
  <si>
    <t>552-Farmacia Bioquimica 135 2399 56 506 3.75 131 72</t>
  </si>
  <si>
    <t>561-Farm Bioquimica - Rib Preto 50 1065 18 200 4.00 113 73</t>
  </si>
  <si>
    <t>574-Medicina e Ciencias Medicas 485 14376 302 2761 5.69 145 91</t>
  </si>
  <si>
    <t>581-Medicina Veterinaria 80 2706 48 425 5.31 122 75</t>
  </si>
  <si>
    <t>591-Zootecnia-Pirassunuga 30 388 12 90 3.00 112 63</t>
  </si>
  <si>
    <t>602-Odontologia-Sao Paulo 133 4196 99 659 4.95 127 74</t>
  </si>
  <si>
    <t>611-Odontologia - Ribeirao Preto 80 1702 28 342 4.28 116 74</t>
  </si>
  <si>
    <t>621-Odontologia - Bauru 50 1530 35 253 5.06 119 76</t>
  </si>
  <si>
    <t>632-Fonoaudiologia-Sao Paulo 58 823 18 170 2.93 107 61</t>
  </si>
  <si>
    <t>641-Fonoaudiologia - Bauru 25 280 6 67 2.68 104 61</t>
  </si>
  <si>
    <t>651-Ortoptica 13 160 4 41 3.15 76 56</t>
  </si>
  <si>
    <t>661-Fisioterapia 25 870 22 134 5.36 124 72</t>
  </si>
  <si>
    <t>671-Fisioterapia-Ufscar 40 1005 13 169 4.23 110 68</t>
  </si>
  <si>
    <t>672-Terapia Ocupacional 55 654 21 145 2.64 105 58</t>
  </si>
  <si>
    <t>681-Nutricao 40 1184 24 178 4.45 118 65</t>
  </si>
  <si>
    <t>701-Psicologia - USP - Capital 70 1743 69 293 4.19 118 69</t>
  </si>
  <si>
    <t>712-Psicologia 80 1326 43 273 3.41 112 62</t>
  </si>
  <si>
    <t>731-Educacao Fisica - USP 50 1311 26 201 4.02 105 57</t>
  </si>
  <si>
    <t>741-Esporte 50 747 22 162 3.24 119 61</t>
  </si>
  <si>
    <t>751-Educacao Fisica - Ufscar 40 370 9 84 2.10 87 48</t>
  </si>
  <si>
    <t>762-Engenharia Agronomica 240 1590 48 473 1.97 114 61</t>
  </si>
  <si>
    <t>771-Engenharia Florestal 40 164 9 61 1.53 122 54</t>
  </si>
  <si>
    <t>799-Treineiros de Biologicas 600 6992 100 1651 2.75 115 61</t>
  </si>
  <si>
    <t>800-Engenharia e Ciencias Exatas 844 11050 256 2937 3.48 142 82</t>
  </si>
  <si>
    <t>813-Engenharia - Sao Carlos 120 1364 24 372 3.10 130 78</t>
  </si>
  <si>
    <t>821-Engenharia Civil-Sao Carlos-USP 60 338 8 118 1.97 128 71</t>
  </si>
  <si>
    <t>836-Engenharia-Ufscar-Sao Carlos 230 1923 38 580 2.52 131 73</t>
  </si>
  <si>
    <t>841-Engenharia Civil-Ufscar-Sao Carlos 50 722 12 158 3.16 110 67</t>
  </si>
  <si>
    <t>851-Ciencias Exatas-Sao Carlos 40 90 6 61 1.53 89 41</t>
  </si>
  <si>
    <t>863-Matematica/Estatistica-Sao Carlos 130 288 9 195 1.50 124 40</t>
  </si>
  <si>
    <t>872-Computacao-Sao Carlos 100 2003 48 392 3.92 128 73</t>
  </si>
  <si>
    <t>884-Licenciatura em Matematica/Fisica 250 1107 67 380 1.52 117 55</t>
  </si>
  <si>
    <t>893-Fisica/Meteorologia-Sao Paulo 180 807 37 309 1.72 124 67</t>
  </si>
  <si>
    <t>902-Fisica-Sao Carlos 90 152 3 127 1.41 128 44</t>
  </si>
  <si>
    <t>921-Quimica-Sao Paulo 60 455 17 141 2.35 131 69</t>
  </si>
  <si>
    <t>931-Quimica-Ribeirao Preto 50 196 4 73 1.46 124 58</t>
  </si>
  <si>
    <t>942-Quimica-Sao Carlos 90 247 7 135 1.50 104 51</t>
  </si>
  <si>
    <t>952-Ciencias da Terra 70 262 7 99 1.41 115 59</t>
  </si>
  <si>
    <t>999-Treineiros de Exatas 600 3568 48 1194 1.99 133 63</t>
  </si>
  <si>
    <t>101-Administração - Piracicaba 35 387 42 77 2.20 59 40</t>
  </si>
  <si>
    <t>105-Arquitetura - FAU 105 3227 289 244 2.32 80 57</t>
  </si>
  <si>
    <t>110-Arquitetura - São Carlos 31 889 73 71 2.29 71 55</t>
  </si>
  <si>
    <t>115-Artes Cênicas 30 738 113 67 2.23 72 49</t>
  </si>
  <si>
    <t>125-Artes Visuais 30 171 5 74 2.47 73 45</t>
  </si>
  <si>
    <t>130-Biblioteconomia 28 115 14 62 2.21 62 33</t>
  </si>
  <si>
    <t>140-Ciências da Informação e da Documentação - Ribeirão Preto 28 62 10 38 1.36 56 27</t>
  </si>
  <si>
    <t>145-Ciências Sociais 147 1089 154 341 2.32 73 43</t>
  </si>
  <si>
    <t>150-Curso Superior do Audiovisual 24 1568 175 56 2.33 75 62</t>
  </si>
  <si>
    <t>155-Design 28 976 122 69 2.46 74 53</t>
  </si>
  <si>
    <t>160-Direito 392 10742 1153 981 2.50 83 58</t>
  </si>
  <si>
    <t>175-Economia - Piracicaba 35 325 30 87 2.49 74 45</t>
  </si>
  <si>
    <t>185-Editoração 10 156 18 23 2.30 77 48</t>
  </si>
  <si>
    <t>190-Filosofia 119 769 166 282 2.37 72 42</t>
  </si>
  <si>
    <t>195-Geografia 119 559 48 280 2.35 70 37</t>
  </si>
  <si>
    <t>205-Gestão Ambiental - Piracicaba 32 92 8 63 1.97 59 27</t>
  </si>
  <si>
    <t>215-História 189 1664 204 435 2.30 82 45</t>
  </si>
  <si>
    <t>220-Jornalismo 42 1607 142 95 2.26 71 54</t>
  </si>
  <si>
    <t>230-Licenciatura em Educomunicação 21 87 14 47 2.24 54 37</t>
  </si>
  <si>
    <t>235-Letras 594 2957 394 1329 2.24 76 37</t>
  </si>
  <si>
    <t>245-Música - ECA 50 145 2 104 2.08 71 27</t>
  </si>
  <si>
    <t>250-Música - Ribeirão Preto 30 56 0 36 1.20 55 27</t>
  </si>
  <si>
    <t>255-Pedagogia 126 825 110 272 2.16 72 38</t>
  </si>
  <si>
    <t>260-Pedagogia - Ribeirão Preto 35 439 50 78 2.23 62 40</t>
  </si>
  <si>
    <t>265-Publicidade e Propaganda 35 1313 164 77 2.20 70 52</t>
  </si>
  <si>
    <t>270-Relações Internacionais 42 2178 185 98 2.33 77 60</t>
  </si>
  <si>
    <t>275-Relações Públicas 35 608 54 78 2.23 64 46</t>
  </si>
  <si>
    <t>285-Turismo 21 182 32 46 2.19 61 38</t>
  </si>
  <si>
    <t>399-Treinamento Humanas 300 4487 438 692 2.31 71 44</t>
  </si>
  <si>
    <t>401-Ciências Biológicas 84 1487 118 191 2.27 76 53</t>
  </si>
  <si>
    <t>405-Ciências Biológicas - Piracicaba 21 305 25 47 2.24 64 47</t>
  </si>
  <si>
    <t>410-Ciências Biológicas - Ribeirão Preto 28 423 36 64 2.29 72 51</t>
  </si>
  <si>
    <t>415-Ciências Biomédicas 30 1100 114 68 2.27 79 59</t>
  </si>
  <si>
    <t>416-Ciências Biomédicas - Ribeirão Preto 20 427 31 45 2.25 75 53</t>
  </si>
  <si>
    <t>425-Ciências dos Alimentos - Piracicaba 28 129 11 60 2.14 53 33</t>
  </si>
  <si>
    <t>430-Educação Física e Esporte 80 732 77 169 2.11 65 40</t>
  </si>
  <si>
    <t>435-Educação Física e Esporte - Ribeirão Preto 42 360 30 91 2.17 69 37</t>
  </si>
  <si>
    <t>440-Enfermagem 56 791 113 115 2.05 70 43</t>
  </si>
  <si>
    <t>445-Enfermagem - Ribeirão Preto 104 810 71 241 2.32 61 38</t>
  </si>
  <si>
    <t>450-Engenharia Agronômica - Piracicaba 160 1301 117 355 2.22 69 42</t>
  </si>
  <si>
    <t>455-Engenharia Florestal - Piracicaba 28 171 16 61 2.18 55 40</t>
  </si>
  <si>
    <t>460-Farmácia-Bioquímica 120 1052 83 298 2.48 81 47</t>
  </si>
  <si>
    <t>465-Farmácia-Bioquímica - Ribeirão Preto 56 428 28 137 2.45 76 43</t>
  </si>
  <si>
    <t>470-Fisioterapia 22 759 94 49 2.23 73 50</t>
  </si>
  <si>
    <t>475-Fisioterapia - Ribeirão Preto 33 566 51 71 2.15 64 44</t>
  </si>
  <si>
    <t>480-Fonoaudiologia 20 229 29 42 2.10 58 41</t>
  </si>
  <si>
    <t>485-Fonoaudiologia - Bauru 28 112 12 60 2.14 62 31</t>
  </si>
  <si>
    <t>490-Fonoaudiologia - Ribeirão Preto 24 201 15 54 2.25 64 38</t>
  </si>
  <si>
    <t>500-Medicina 125 16967 1461 359 2.87 90 76</t>
  </si>
  <si>
    <t>501-Medicina - Bauru 42 4447 407 118 2.81 88 69</t>
  </si>
  <si>
    <t>505-Medicina - Ribeirão Preto 80 6920 476 266 3.33 87 72</t>
  </si>
  <si>
    <t>510-Medicina Veterinária 64 2582 275 141 2.20 74 54</t>
  </si>
  <si>
    <t>515-Medicina Veterinária - Pirassununga 42 1054 83 94 2.24 69 50</t>
  </si>
  <si>
    <t>520-Nutrição 56 1052 118 119 2.13 70 47</t>
  </si>
  <si>
    <t>525-Nutrição e Metabolismo - Ribeirão Preto 24 383 31 64 2.67 63 45</t>
  </si>
  <si>
    <t>535-Odontologia 113 1624 141 240 2.12 73 46</t>
  </si>
  <si>
    <t>540-Odontologia - Bauru 35 549 41 77 2.20 67 46</t>
  </si>
  <si>
    <t>545-Odontologia - Ribeirão Preto 56 1117 80 137 2.45 78 48</t>
  </si>
  <si>
    <t>550-Psicologia 49 2994 333 108 2.20 84 61</t>
  </si>
  <si>
    <t>555-Psicologia - Ribeirão Preto 28 1316 133 71 2.54 74 56</t>
  </si>
  <si>
    <t>560-Saúde Pública 28 98 20 59 2.11 60 27</t>
  </si>
  <si>
    <t>565-Terapia Ocupacional 22 209 20 52 2.36 61 40</t>
  </si>
  <si>
    <t>570-Terapia Ocupacional - Ribeirão Preto 16 149 19 34 2.13 63 37</t>
  </si>
  <si>
    <t>575-Zootecnia - Pirassununga 28 238 28 58 2.07 64 37</t>
  </si>
  <si>
    <t>699-Treinamento Biológicas 300 4682 332 715 2.38 81 46</t>
  </si>
  <si>
    <t>700-Ciências Físicas e Biomoleculares - São Carlos 28 109 8 69 2.46 75 39</t>
  </si>
  <si>
    <t>710-Computação 250 2589 240 571 2.28 81 49</t>
  </si>
  <si>
    <t>715-Engenharia Aeronáutica - São Carlos 36 1018 61 93 2.58 83 65</t>
  </si>
  <si>
    <t>720-Engenharia Ambiental - Lorena 32 168 15 71 2.22 65 37</t>
  </si>
  <si>
    <t>725-Engenharia Ambiental - São Carlos 30 258 12 71 2.37 74 44</t>
  </si>
  <si>
    <t>730-Engenharia Bioquímica - Lorena 30 131 7 74 2.47 74 38</t>
  </si>
  <si>
    <t>735-Engenharia Civil - São Carlos 60 1366 143 135 2.25 81 53</t>
  </si>
  <si>
    <t>740-Engenharia de Alimentos - Pirassununga 68 346 17 151 2.22 69 38</t>
  </si>
  <si>
    <t>745-Engenharia de Biossistemas - Pirassununga 42 212 12 101 2.40 71 35</t>
  </si>
  <si>
    <t>750-Engenharia de Materiais - Lorena 30 142 7 69 2.30 63 39</t>
  </si>
  <si>
    <t>755-Engenharia de Materiais e Manufatura - São Carlos 40 288 9 101 2.53 77 47</t>
  </si>
  <si>
    <t>760-Engenharia de Produção - Lorena 34 552 53 78 2.29 73 48</t>
  </si>
  <si>
    <t>765-Engenharia Elétrica e de Computação - São Carlos 130 1640 115 331 2.55 82 54</t>
  </si>
  <si>
    <t>770-Engenharia Física - Lorena 30 162 11 77 2.57 73 44</t>
  </si>
  <si>
    <t>771-Engenharia Química - Lorena 120 1048 61 295 2.46 74 47</t>
  </si>
  <si>
    <t>775-Engenharia na Escola Politécnica 783 8482 437 1959 2.50 88 57</t>
  </si>
  <si>
    <t>785-Engenharia - São Carlos 135 1778 114 339 2.51 78 56</t>
  </si>
  <si>
    <t>790-Física / Física Computacional / Meteorologia / Geofísica / Astronomia / Estatíst 447 2680 312 1064 2.38 83 44</t>
  </si>
  <si>
    <t>795-Física Médica - Ribeirão Preto 28 184 9 65 2.32 72 42</t>
  </si>
  <si>
    <t>800-Geologia 35 254 21 85 2.43 80 44</t>
  </si>
  <si>
    <t>805-Informática Biomédica - Ribeirão Preto 28 103 12 62 2.21 76 32</t>
  </si>
  <si>
    <t>810-Sistemas de Informação - São Carlos 35 276 24 78 2.23 70 42</t>
  </si>
  <si>
    <t>815-Licenciatura em Ciências Exatas - São Carlos 35 71 7 53 1.51 57 27</t>
  </si>
  <si>
    <t>820-Licenciatura em Geociências e Educação Ambiental 28 149 15 61 2.18 75 37</t>
  </si>
  <si>
    <t>825-Licenciatura em Matemática / Física 208 756 77 480 2.31 79 33</t>
  </si>
  <si>
    <t>830-Matemática Aplicada - Ribeirão Preto 32 167 17 72 2.25 64 37</t>
  </si>
  <si>
    <t>840-Oceanografia 28 207 20 67 2.39 65 41</t>
  </si>
  <si>
    <t>850-Química (Bacharelados) - Ribeirão Preto 42 356 35 96 2.29 72 43</t>
  </si>
  <si>
    <t>855-Química - Bacharelado e Licenciatura 84 738 69 208 2.48 80 48</t>
  </si>
  <si>
    <t>865-Química - Licenciatura - Ribeirão Preto 28 119 13 59 2.11 56 33</t>
  </si>
  <si>
    <t>870-Química (Bacharelado e Bacharelado com Atribuições Tecnológicas com Ênfases... 48 241 14 111 2.31 73 41</t>
  </si>
  <si>
    <t>999-Treinamento Exatas 300 3671 190 693 2.31 79 48</t>
  </si>
  <si>
    <t>100-Administração; Ciências Contábeis; Economia; Economia Empresarial e Controla... 212 1794 181 493 2.33 77 43</t>
  </si>
  <si>
    <t>165-Economia; Administração; Ciências Contábeis e Atuária 413 5552 553 995 2.41 89 52</t>
  </si>
  <si>
    <t>200-Gestão Ambiental - USP Leste; SP 84 344 25 185 2.20 60 33</t>
  </si>
  <si>
    <t>210-Gestão de Políticas Públicas - USP Leste; SP 84 427 48 199 2.37 71 36</t>
  </si>
  <si>
    <t>225-Lazer e Turismo - USP Leste; SP 84 298 28 174 2.07 58 30</t>
  </si>
  <si>
    <t>240-Marketing - USP Leste; SP 84 726 75 206 2.45 68 40</t>
  </si>
  <si>
    <t>280-Têxtil e Moda - USP Leste; SP 42 443 71 96 2.29 67 40</t>
  </si>
  <si>
    <t>400-Bacharelado em Biotecnologia - USP Leste; SP 42 394 38 100 2.38 70 47</t>
  </si>
  <si>
    <t>436-Educação Física e Saúde - USP Leste; SP 42 222 25 85 2.02 56 33</t>
  </si>
  <si>
    <t>495-Gerontologia - USP Leste; SP 42 284 18 95 2.26 58 36</t>
  </si>
  <si>
    <t>530-Obstetrícia - USP Leste; SP 42 407 40 90 2.14 71 39</t>
  </si>
  <si>
    <t>705-Ciências da Natureza - USP Leste; SP 42 252 30 101 2.40 60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</si>
</sst>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78C4-6DBD-44C2-B3B0-F972EBACE588}">
  <dimension ref="A1:L1463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550</v>
      </c>
    </row>
    <row r="2" spans="1:12" x14ac:dyDescent="0.25">
      <c r="A2">
        <v>1994</v>
      </c>
      <c r="B2" t="s">
        <v>7</v>
      </c>
      <c r="C2">
        <v>30</v>
      </c>
      <c r="D2">
        <v>79</v>
      </c>
      <c r="E2">
        <v>50</v>
      </c>
      <c r="F2">
        <v>96</v>
      </c>
      <c r="G2">
        <v>1.6</v>
      </c>
      <c r="I2" t="s">
        <v>551</v>
      </c>
      <c r="J2" t="str">
        <f>RIGHT(I2,5)</f>
        <v>96 50</v>
      </c>
      <c r="K2">
        <f>VALUE(RIGHT(J2,2))-E2</f>
        <v>0</v>
      </c>
      <c r="L2">
        <f>VALUE(LEFT(J2,2))-F2</f>
        <v>0</v>
      </c>
    </row>
    <row r="3" spans="1:12" x14ac:dyDescent="0.25">
      <c r="A3">
        <v>1994</v>
      </c>
      <c r="B3" t="s">
        <v>8</v>
      </c>
      <c r="C3">
        <v>15</v>
      </c>
      <c r="D3">
        <v>365</v>
      </c>
      <c r="E3">
        <v>33</v>
      </c>
      <c r="F3">
        <v>55</v>
      </c>
      <c r="G3">
        <v>6.2</v>
      </c>
      <c r="I3" t="s">
        <v>552</v>
      </c>
      <c r="J3" t="str">
        <f t="shared" ref="J3:J66" si="0">RIGHT(I3,5)</f>
        <v>55 33</v>
      </c>
      <c r="K3">
        <f t="shared" ref="K3:K66" si="1">VALUE(RIGHT(J3,2))-E3</f>
        <v>0</v>
      </c>
      <c r="L3">
        <f t="shared" ref="L3:L66" si="2">VALUE(LEFT(J3,2))-F3</f>
        <v>0</v>
      </c>
    </row>
    <row r="4" spans="1:12" x14ac:dyDescent="0.25">
      <c r="A4">
        <v>1994</v>
      </c>
      <c r="B4" t="s">
        <v>9</v>
      </c>
      <c r="C4">
        <v>10</v>
      </c>
      <c r="D4">
        <v>101</v>
      </c>
      <c r="E4">
        <v>27</v>
      </c>
      <c r="F4">
        <v>55</v>
      </c>
      <c r="G4">
        <v>3.9</v>
      </c>
      <c r="I4" t="s">
        <v>553</v>
      </c>
      <c r="J4" t="str">
        <f t="shared" si="0"/>
        <v>55 27</v>
      </c>
      <c r="K4">
        <f t="shared" si="1"/>
        <v>0</v>
      </c>
      <c r="L4">
        <f t="shared" si="2"/>
        <v>0</v>
      </c>
    </row>
    <row r="5" spans="1:12" x14ac:dyDescent="0.25">
      <c r="A5">
        <v>1994</v>
      </c>
      <c r="B5" t="s">
        <v>10</v>
      </c>
      <c r="C5">
        <v>20</v>
      </c>
      <c r="D5">
        <v>476</v>
      </c>
      <c r="E5">
        <v>33</v>
      </c>
      <c r="F5">
        <v>55</v>
      </c>
      <c r="G5">
        <v>5.05</v>
      </c>
      <c r="I5" t="s">
        <v>554</v>
      </c>
      <c r="J5" t="str">
        <f t="shared" si="0"/>
        <v>55 33</v>
      </c>
      <c r="K5">
        <f t="shared" si="1"/>
        <v>0</v>
      </c>
      <c r="L5">
        <f t="shared" si="2"/>
        <v>0</v>
      </c>
    </row>
    <row r="6" spans="1:12" x14ac:dyDescent="0.25">
      <c r="A6">
        <v>1994</v>
      </c>
      <c r="B6" t="s">
        <v>11</v>
      </c>
      <c r="C6">
        <v>30</v>
      </c>
      <c r="D6">
        <v>290</v>
      </c>
      <c r="E6">
        <v>26</v>
      </c>
      <c r="F6">
        <v>53</v>
      </c>
      <c r="G6">
        <v>3.6</v>
      </c>
      <c r="I6" t="s">
        <v>555</v>
      </c>
      <c r="J6" t="str">
        <f t="shared" si="0"/>
        <v>53 26</v>
      </c>
      <c r="K6">
        <f t="shared" si="1"/>
        <v>0</v>
      </c>
      <c r="L6">
        <f t="shared" si="2"/>
        <v>0</v>
      </c>
    </row>
    <row r="7" spans="1:12" x14ac:dyDescent="0.25">
      <c r="A7">
        <v>1994</v>
      </c>
      <c r="B7" t="s">
        <v>12</v>
      </c>
      <c r="C7">
        <v>40</v>
      </c>
      <c r="D7">
        <v>63</v>
      </c>
      <c r="E7">
        <v>13</v>
      </c>
      <c r="F7">
        <v>45</v>
      </c>
      <c r="G7">
        <v>1.53</v>
      </c>
      <c r="I7" t="s">
        <v>556</v>
      </c>
      <c r="J7" t="str">
        <f t="shared" si="0"/>
        <v>45 13</v>
      </c>
      <c r="K7">
        <f t="shared" si="1"/>
        <v>0</v>
      </c>
      <c r="L7">
        <f t="shared" si="2"/>
        <v>0</v>
      </c>
    </row>
    <row r="8" spans="1:12" x14ac:dyDescent="0.25">
      <c r="A8">
        <v>1994</v>
      </c>
      <c r="B8" t="s">
        <v>13</v>
      </c>
      <c r="C8">
        <v>15</v>
      </c>
      <c r="D8">
        <v>301</v>
      </c>
      <c r="E8">
        <v>40</v>
      </c>
      <c r="F8">
        <v>59</v>
      </c>
      <c r="G8">
        <v>4.8</v>
      </c>
      <c r="I8" t="s">
        <v>557</v>
      </c>
      <c r="J8" t="str">
        <f t="shared" si="0"/>
        <v>59 40</v>
      </c>
      <c r="K8">
        <f t="shared" si="1"/>
        <v>0</v>
      </c>
      <c r="L8">
        <f t="shared" si="2"/>
        <v>0</v>
      </c>
    </row>
    <row r="9" spans="1:12" x14ac:dyDescent="0.25">
      <c r="A9">
        <v>1994</v>
      </c>
      <c r="B9" t="s">
        <v>14</v>
      </c>
      <c r="C9">
        <v>15</v>
      </c>
      <c r="D9">
        <v>378</v>
      </c>
      <c r="E9">
        <v>36</v>
      </c>
      <c r="F9">
        <v>60</v>
      </c>
      <c r="G9">
        <v>5.33</v>
      </c>
      <c r="I9" t="s">
        <v>558</v>
      </c>
      <c r="J9" t="str">
        <f t="shared" si="0"/>
        <v>60 36</v>
      </c>
      <c r="K9">
        <f t="shared" si="1"/>
        <v>0</v>
      </c>
      <c r="L9">
        <f t="shared" si="2"/>
        <v>0</v>
      </c>
    </row>
    <row r="10" spans="1:12" x14ac:dyDescent="0.25">
      <c r="A10">
        <v>1994</v>
      </c>
      <c r="B10" t="s">
        <v>15</v>
      </c>
      <c r="C10">
        <v>45</v>
      </c>
      <c r="D10">
        <v>2497</v>
      </c>
      <c r="E10">
        <v>41</v>
      </c>
      <c r="F10">
        <v>67</v>
      </c>
      <c r="G10">
        <v>7.51</v>
      </c>
      <c r="I10" t="s">
        <v>559</v>
      </c>
      <c r="J10" t="str">
        <f t="shared" si="0"/>
        <v>67 41</v>
      </c>
      <c r="K10">
        <f t="shared" si="1"/>
        <v>0</v>
      </c>
      <c r="L10">
        <f t="shared" si="2"/>
        <v>0</v>
      </c>
    </row>
    <row r="11" spans="1:12" x14ac:dyDescent="0.25">
      <c r="A11">
        <v>1994</v>
      </c>
      <c r="B11" t="s">
        <v>16</v>
      </c>
      <c r="C11">
        <v>40</v>
      </c>
      <c r="D11">
        <v>3342</v>
      </c>
      <c r="E11">
        <v>40</v>
      </c>
      <c r="F11">
        <v>66</v>
      </c>
      <c r="G11">
        <v>9.1999999999999993</v>
      </c>
      <c r="I11" t="s">
        <v>560</v>
      </c>
      <c r="J11" t="str">
        <f t="shared" si="0"/>
        <v>66 40</v>
      </c>
      <c r="K11">
        <f t="shared" si="1"/>
        <v>0</v>
      </c>
      <c r="L11">
        <f t="shared" si="2"/>
        <v>0</v>
      </c>
    </row>
    <row r="12" spans="1:12" x14ac:dyDescent="0.25">
      <c r="A12">
        <v>1994</v>
      </c>
      <c r="B12" t="s">
        <v>17</v>
      </c>
      <c r="C12">
        <v>20</v>
      </c>
      <c r="D12">
        <v>494</v>
      </c>
      <c r="E12">
        <v>36</v>
      </c>
      <c r="F12">
        <v>58</v>
      </c>
      <c r="G12">
        <v>5.05</v>
      </c>
      <c r="I12" t="s">
        <v>561</v>
      </c>
      <c r="J12" t="str">
        <f t="shared" si="0"/>
        <v>58 36</v>
      </c>
      <c r="K12">
        <f t="shared" si="1"/>
        <v>0</v>
      </c>
      <c r="L12">
        <f t="shared" si="2"/>
        <v>0</v>
      </c>
    </row>
    <row r="13" spans="1:12" x14ac:dyDescent="0.25">
      <c r="A13">
        <v>1994</v>
      </c>
      <c r="B13" t="s">
        <v>18</v>
      </c>
      <c r="C13">
        <v>20</v>
      </c>
      <c r="D13">
        <v>590</v>
      </c>
      <c r="E13">
        <v>33</v>
      </c>
      <c r="F13">
        <v>55</v>
      </c>
      <c r="G13">
        <v>6.15</v>
      </c>
      <c r="I13" t="s">
        <v>562</v>
      </c>
      <c r="J13" t="str">
        <f t="shared" si="0"/>
        <v>55 33</v>
      </c>
      <c r="K13">
        <f t="shared" si="1"/>
        <v>0</v>
      </c>
      <c r="L13">
        <f t="shared" si="2"/>
        <v>0</v>
      </c>
    </row>
    <row r="14" spans="1:12" x14ac:dyDescent="0.25">
      <c r="A14">
        <v>1994</v>
      </c>
      <c r="B14" t="s">
        <v>19</v>
      </c>
      <c r="C14">
        <v>20</v>
      </c>
      <c r="D14">
        <v>948</v>
      </c>
      <c r="E14">
        <v>35</v>
      </c>
      <c r="F14">
        <v>58</v>
      </c>
      <c r="G14">
        <v>7.05</v>
      </c>
      <c r="I14" t="s">
        <v>563</v>
      </c>
      <c r="J14" t="str">
        <f t="shared" si="0"/>
        <v>58 35</v>
      </c>
      <c r="K14">
        <f t="shared" si="1"/>
        <v>0</v>
      </c>
      <c r="L14">
        <f t="shared" si="2"/>
        <v>0</v>
      </c>
    </row>
    <row r="15" spans="1:12" x14ac:dyDescent="0.25">
      <c r="A15">
        <v>1994</v>
      </c>
      <c r="B15" t="s">
        <v>20</v>
      </c>
      <c r="C15">
        <v>200</v>
      </c>
      <c r="D15">
        <v>1140</v>
      </c>
      <c r="E15">
        <v>29</v>
      </c>
      <c r="F15">
        <v>62</v>
      </c>
      <c r="G15">
        <v>2.42</v>
      </c>
      <c r="I15" t="s">
        <v>564</v>
      </c>
      <c r="J15" t="str">
        <f t="shared" si="0"/>
        <v>62 29</v>
      </c>
      <c r="K15">
        <f t="shared" si="1"/>
        <v>0</v>
      </c>
      <c r="L15">
        <f t="shared" si="2"/>
        <v>0</v>
      </c>
    </row>
    <row r="16" spans="1:12" x14ac:dyDescent="0.25">
      <c r="A16">
        <v>1994</v>
      </c>
      <c r="B16" t="s">
        <v>21</v>
      </c>
      <c r="C16">
        <v>40</v>
      </c>
      <c r="D16">
        <v>168</v>
      </c>
      <c r="E16">
        <v>25</v>
      </c>
      <c r="F16">
        <v>48</v>
      </c>
      <c r="G16">
        <v>2.2799999999999998</v>
      </c>
      <c r="I16" t="s">
        <v>565</v>
      </c>
      <c r="J16" t="str">
        <f t="shared" si="0"/>
        <v>48 25</v>
      </c>
      <c r="K16">
        <f t="shared" si="1"/>
        <v>0</v>
      </c>
      <c r="L16">
        <f t="shared" si="2"/>
        <v>0</v>
      </c>
    </row>
    <row r="17" spans="1:12" x14ac:dyDescent="0.25">
      <c r="A17">
        <v>1994</v>
      </c>
      <c r="B17" t="s">
        <v>22</v>
      </c>
      <c r="C17">
        <v>160</v>
      </c>
      <c r="D17">
        <v>912</v>
      </c>
      <c r="E17">
        <v>28</v>
      </c>
      <c r="F17">
        <v>60</v>
      </c>
      <c r="G17">
        <v>2.56</v>
      </c>
      <c r="I17" t="s">
        <v>566</v>
      </c>
      <c r="J17" t="str">
        <f t="shared" si="0"/>
        <v>60 28</v>
      </c>
      <c r="K17">
        <f t="shared" si="1"/>
        <v>0</v>
      </c>
      <c r="L17">
        <f t="shared" si="2"/>
        <v>0</v>
      </c>
    </row>
    <row r="18" spans="1:12" x14ac:dyDescent="0.25">
      <c r="A18">
        <v>1994</v>
      </c>
      <c r="B18" t="s">
        <v>23</v>
      </c>
      <c r="C18">
        <v>160</v>
      </c>
      <c r="D18">
        <v>871</v>
      </c>
      <c r="E18">
        <v>26</v>
      </c>
      <c r="F18">
        <v>61</v>
      </c>
      <c r="G18">
        <v>2.62</v>
      </c>
      <c r="I18" t="s">
        <v>567</v>
      </c>
      <c r="J18" t="str">
        <f t="shared" si="0"/>
        <v>61 26</v>
      </c>
      <c r="K18">
        <f t="shared" si="1"/>
        <v>0</v>
      </c>
      <c r="L18">
        <f t="shared" si="2"/>
        <v>0</v>
      </c>
    </row>
    <row r="19" spans="1:12" x14ac:dyDescent="0.25">
      <c r="A19">
        <v>1994</v>
      </c>
      <c r="B19" t="s">
        <v>24</v>
      </c>
      <c r="C19">
        <v>260</v>
      </c>
      <c r="D19">
        <v>1494</v>
      </c>
      <c r="E19">
        <v>28</v>
      </c>
      <c r="F19">
        <v>58</v>
      </c>
      <c r="G19">
        <v>2.52</v>
      </c>
      <c r="I19" t="s">
        <v>568</v>
      </c>
      <c r="J19" t="str">
        <f t="shared" si="0"/>
        <v>58 28</v>
      </c>
      <c r="K19">
        <f t="shared" si="1"/>
        <v>0</v>
      </c>
      <c r="L19">
        <f t="shared" si="2"/>
        <v>0</v>
      </c>
    </row>
    <row r="20" spans="1:12" x14ac:dyDescent="0.25">
      <c r="A20">
        <v>1994</v>
      </c>
      <c r="B20" t="s">
        <v>25</v>
      </c>
      <c r="C20">
        <v>875</v>
      </c>
      <c r="D20">
        <v>4961</v>
      </c>
      <c r="E20">
        <v>26</v>
      </c>
      <c r="F20">
        <v>63</v>
      </c>
      <c r="G20">
        <v>2.5499999999999998</v>
      </c>
      <c r="I20" t="s">
        <v>569</v>
      </c>
      <c r="J20" t="str">
        <f t="shared" si="0"/>
        <v>63 26</v>
      </c>
      <c r="K20">
        <f t="shared" si="1"/>
        <v>0</v>
      </c>
      <c r="L20">
        <f t="shared" si="2"/>
        <v>0</v>
      </c>
    </row>
    <row r="21" spans="1:12" x14ac:dyDescent="0.25">
      <c r="A21">
        <v>1994</v>
      </c>
      <c r="B21" t="s">
        <v>26</v>
      </c>
      <c r="C21">
        <v>400</v>
      </c>
      <c r="D21">
        <v>8878</v>
      </c>
      <c r="E21">
        <v>38</v>
      </c>
      <c r="F21">
        <v>68</v>
      </c>
      <c r="G21">
        <v>5.04</v>
      </c>
      <c r="I21" t="s">
        <v>570</v>
      </c>
      <c r="J21" t="str">
        <f t="shared" si="0"/>
        <v>68 38</v>
      </c>
      <c r="K21">
        <f t="shared" si="1"/>
        <v>0</v>
      </c>
      <c r="L21">
        <f t="shared" si="2"/>
        <v>0</v>
      </c>
    </row>
    <row r="22" spans="1:12" x14ac:dyDescent="0.25">
      <c r="A22">
        <v>1994</v>
      </c>
      <c r="B22" t="s">
        <v>27</v>
      </c>
      <c r="C22">
        <v>40</v>
      </c>
      <c r="D22">
        <v>811</v>
      </c>
      <c r="E22">
        <v>36</v>
      </c>
      <c r="F22">
        <v>58</v>
      </c>
      <c r="G22">
        <v>4.78</v>
      </c>
      <c r="I22" t="s">
        <v>571</v>
      </c>
      <c r="J22" t="str">
        <f t="shared" si="0"/>
        <v>58 36</v>
      </c>
      <c r="K22">
        <f t="shared" si="1"/>
        <v>0</v>
      </c>
      <c r="L22">
        <f t="shared" si="2"/>
        <v>0</v>
      </c>
    </row>
    <row r="23" spans="1:12" x14ac:dyDescent="0.25">
      <c r="A23">
        <v>1994</v>
      </c>
      <c r="B23" t="s">
        <v>28</v>
      </c>
      <c r="C23">
        <v>140</v>
      </c>
      <c r="D23">
        <v>2087</v>
      </c>
      <c r="E23">
        <v>31</v>
      </c>
      <c r="F23">
        <v>59</v>
      </c>
      <c r="G23">
        <v>4.2</v>
      </c>
      <c r="I23" t="s">
        <v>572</v>
      </c>
      <c r="J23" t="str">
        <f t="shared" si="0"/>
        <v>59 31</v>
      </c>
      <c r="K23">
        <f t="shared" si="1"/>
        <v>0</v>
      </c>
      <c r="L23">
        <f t="shared" si="2"/>
        <v>0</v>
      </c>
    </row>
    <row r="24" spans="1:12" x14ac:dyDescent="0.25">
      <c r="A24">
        <v>1994</v>
      </c>
      <c r="B24" t="s">
        <v>29</v>
      </c>
      <c r="C24">
        <v>40</v>
      </c>
      <c r="D24">
        <v>435</v>
      </c>
      <c r="E24">
        <v>28</v>
      </c>
      <c r="F24">
        <v>57</v>
      </c>
      <c r="G24">
        <v>3.6</v>
      </c>
      <c r="I24" t="s">
        <v>573</v>
      </c>
      <c r="J24" t="str">
        <f t="shared" si="0"/>
        <v>57 28</v>
      </c>
      <c r="K24">
        <f t="shared" si="1"/>
        <v>0</v>
      </c>
      <c r="L24">
        <f t="shared" si="2"/>
        <v>0</v>
      </c>
    </row>
    <row r="25" spans="1:12" x14ac:dyDescent="0.25">
      <c r="A25">
        <v>1994</v>
      </c>
      <c r="B25" t="s">
        <v>30</v>
      </c>
      <c r="C25">
        <v>180</v>
      </c>
      <c r="D25">
        <v>2037</v>
      </c>
      <c r="E25">
        <v>37</v>
      </c>
      <c r="F25">
        <v>70</v>
      </c>
      <c r="G25">
        <v>3.57</v>
      </c>
      <c r="I25" t="s">
        <v>574</v>
      </c>
      <c r="J25" t="str">
        <f t="shared" si="0"/>
        <v>70 37</v>
      </c>
      <c r="K25">
        <f t="shared" si="1"/>
        <v>0</v>
      </c>
      <c r="L25">
        <f t="shared" si="2"/>
        <v>0</v>
      </c>
    </row>
    <row r="26" spans="1:12" x14ac:dyDescent="0.25">
      <c r="A26">
        <v>1994</v>
      </c>
      <c r="B26" t="s">
        <v>31</v>
      </c>
      <c r="C26">
        <v>40</v>
      </c>
      <c r="D26">
        <v>396</v>
      </c>
      <c r="E26">
        <v>33</v>
      </c>
      <c r="F26">
        <v>59</v>
      </c>
      <c r="G26">
        <v>3.43</v>
      </c>
      <c r="I26" t="s">
        <v>575</v>
      </c>
      <c r="J26" t="str">
        <f t="shared" si="0"/>
        <v>59 33</v>
      </c>
      <c r="K26">
        <f t="shared" si="1"/>
        <v>0</v>
      </c>
      <c r="L26">
        <f t="shared" si="2"/>
        <v>0</v>
      </c>
    </row>
    <row r="27" spans="1:12" x14ac:dyDescent="0.25">
      <c r="A27">
        <v>1994</v>
      </c>
      <c r="B27" t="s">
        <v>32</v>
      </c>
      <c r="C27">
        <v>150</v>
      </c>
      <c r="D27">
        <v>3064</v>
      </c>
      <c r="E27">
        <v>39</v>
      </c>
      <c r="F27">
        <v>65</v>
      </c>
      <c r="G27">
        <v>4.7699999999999996</v>
      </c>
      <c r="I27" t="s">
        <v>576</v>
      </c>
      <c r="J27" t="str">
        <f t="shared" si="0"/>
        <v>65 39</v>
      </c>
      <c r="K27">
        <f t="shared" si="1"/>
        <v>0</v>
      </c>
      <c r="L27">
        <f t="shared" si="2"/>
        <v>0</v>
      </c>
    </row>
    <row r="28" spans="1:12" x14ac:dyDescent="0.25">
      <c r="A28">
        <v>1994</v>
      </c>
      <c r="B28" t="s">
        <v>33</v>
      </c>
      <c r="C28">
        <v>30</v>
      </c>
      <c r="D28">
        <v>554</v>
      </c>
      <c r="E28">
        <v>36</v>
      </c>
      <c r="F28">
        <v>55</v>
      </c>
      <c r="G28">
        <v>4.43</v>
      </c>
      <c r="I28" t="s">
        <v>577</v>
      </c>
      <c r="J28" t="str">
        <f t="shared" si="0"/>
        <v>55 36</v>
      </c>
      <c r="K28">
        <f t="shared" si="1"/>
        <v>0</v>
      </c>
      <c r="L28">
        <f t="shared" si="2"/>
        <v>0</v>
      </c>
    </row>
    <row r="29" spans="1:12" x14ac:dyDescent="0.25">
      <c r="A29">
        <v>1994</v>
      </c>
      <c r="B29" t="s">
        <v>34</v>
      </c>
      <c r="C29">
        <v>450</v>
      </c>
      <c r="D29">
        <v>15884</v>
      </c>
      <c r="E29">
        <v>40</v>
      </c>
      <c r="F29">
        <v>68</v>
      </c>
      <c r="G29">
        <v>5.99</v>
      </c>
      <c r="I29" t="s">
        <v>578</v>
      </c>
      <c r="J29" t="str">
        <f t="shared" si="0"/>
        <v>68 40</v>
      </c>
      <c r="K29">
        <f t="shared" si="1"/>
        <v>0</v>
      </c>
      <c r="L29">
        <f t="shared" si="2"/>
        <v>0</v>
      </c>
    </row>
    <row r="30" spans="1:12" x14ac:dyDescent="0.25">
      <c r="A30">
        <v>1994</v>
      </c>
      <c r="B30" t="s">
        <v>35</v>
      </c>
      <c r="C30">
        <v>120</v>
      </c>
      <c r="D30">
        <v>1913</v>
      </c>
      <c r="E30">
        <v>26</v>
      </c>
      <c r="F30">
        <v>60</v>
      </c>
      <c r="G30">
        <v>4.33</v>
      </c>
      <c r="I30" t="s">
        <v>579</v>
      </c>
      <c r="J30" t="str">
        <f t="shared" si="0"/>
        <v>60 26</v>
      </c>
      <c r="K30">
        <f t="shared" si="1"/>
        <v>0</v>
      </c>
      <c r="L30">
        <f t="shared" si="2"/>
        <v>0</v>
      </c>
    </row>
    <row r="31" spans="1:12" x14ac:dyDescent="0.25">
      <c r="A31">
        <v>1994</v>
      </c>
      <c r="B31" t="s">
        <v>36</v>
      </c>
      <c r="C31">
        <v>50</v>
      </c>
      <c r="D31">
        <v>167</v>
      </c>
      <c r="E31">
        <v>21</v>
      </c>
      <c r="F31">
        <v>41</v>
      </c>
      <c r="G31">
        <v>1.86</v>
      </c>
      <c r="I31" t="s">
        <v>580</v>
      </c>
      <c r="J31" t="str">
        <f t="shared" si="0"/>
        <v>41 21</v>
      </c>
      <c r="K31">
        <f t="shared" si="1"/>
        <v>0</v>
      </c>
      <c r="L31">
        <f t="shared" si="2"/>
        <v>0</v>
      </c>
    </row>
    <row r="32" spans="1:12" x14ac:dyDescent="0.25">
      <c r="A32">
        <v>1994</v>
      </c>
      <c r="B32" t="s">
        <v>37</v>
      </c>
      <c r="C32">
        <v>900</v>
      </c>
      <c r="D32">
        <v>6202</v>
      </c>
      <c r="E32">
        <v>28</v>
      </c>
      <c r="F32">
        <v>58</v>
      </c>
      <c r="G32">
        <v>2.74</v>
      </c>
      <c r="I32" t="s">
        <v>581</v>
      </c>
      <c r="J32" t="str">
        <f t="shared" si="0"/>
        <v>58 28</v>
      </c>
      <c r="K32">
        <f t="shared" si="1"/>
        <v>0</v>
      </c>
      <c r="L32">
        <f t="shared" si="2"/>
        <v>0</v>
      </c>
    </row>
    <row r="33" spans="1:12" x14ac:dyDescent="0.25">
      <c r="A33">
        <v>1994</v>
      </c>
      <c r="B33" t="s">
        <v>38</v>
      </c>
      <c r="C33">
        <v>180</v>
      </c>
      <c r="D33">
        <v>1773</v>
      </c>
      <c r="E33">
        <v>34</v>
      </c>
      <c r="F33">
        <v>69</v>
      </c>
      <c r="G33">
        <v>3.25</v>
      </c>
      <c r="I33" t="s">
        <v>582</v>
      </c>
      <c r="J33" t="str">
        <f t="shared" si="0"/>
        <v>69 34</v>
      </c>
      <c r="K33">
        <f t="shared" si="1"/>
        <v>0</v>
      </c>
      <c r="L33">
        <f t="shared" si="2"/>
        <v>0</v>
      </c>
    </row>
    <row r="34" spans="1:12" x14ac:dyDescent="0.25">
      <c r="A34">
        <v>1994</v>
      </c>
      <c r="B34" t="s">
        <v>39</v>
      </c>
      <c r="C34">
        <v>23</v>
      </c>
      <c r="D34">
        <v>366</v>
      </c>
      <c r="E34">
        <v>36</v>
      </c>
      <c r="F34">
        <v>63</v>
      </c>
      <c r="G34">
        <v>4.3</v>
      </c>
      <c r="I34" t="s">
        <v>583</v>
      </c>
      <c r="J34" t="str">
        <f t="shared" si="0"/>
        <v>63 36</v>
      </c>
      <c r="K34">
        <f t="shared" si="1"/>
        <v>0</v>
      </c>
      <c r="L34">
        <f t="shared" si="2"/>
        <v>0</v>
      </c>
    </row>
    <row r="35" spans="1:12" x14ac:dyDescent="0.25">
      <c r="A35">
        <v>1994</v>
      </c>
      <c r="B35" t="s">
        <v>40</v>
      </c>
      <c r="C35">
        <v>40</v>
      </c>
      <c r="D35">
        <v>465</v>
      </c>
      <c r="E35">
        <v>34</v>
      </c>
      <c r="F35">
        <v>52</v>
      </c>
      <c r="G35">
        <v>3.53</v>
      </c>
      <c r="I35" t="s">
        <v>584</v>
      </c>
      <c r="J35" t="str">
        <f t="shared" si="0"/>
        <v>52 34</v>
      </c>
      <c r="K35">
        <f t="shared" si="1"/>
        <v>0</v>
      </c>
      <c r="L35">
        <f t="shared" si="2"/>
        <v>0</v>
      </c>
    </row>
    <row r="36" spans="1:12" x14ac:dyDescent="0.25">
      <c r="A36">
        <v>1994</v>
      </c>
      <c r="B36" t="s">
        <v>41</v>
      </c>
      <c r="C36">
        <v>190</v>
      </c>
      <c r="D36">
        <v>1689</v>
      </c>
      <c r="E36">
        <v>25</v>
      </c>
      <c r="F36">
        <v>57</v>
      </c>
      <c r="G36">
        <v>3.25</v>
      </c>
      <c r="I36" t="s">
        <v>585</v>
      </c>
      <c r="J36" t="str">
        <f t="shared" si="0"/>
        <v>57 25</v>
      </c>
      <c r="K36">
        <f t="shared" si="1"/>
        <v>0</v>
      </c>
      <c r="L36">
        <f t="shared" si="2"/>
        <v>0</v>
      </c>
    </row>
    <row r="37" spans="1:12" x14ac:dyDescent="0.25">
      <c r="A37">
        <v>1994</v>
      </c>
      <c r="B37" t="s">
        <v>42</v>
      </c>
      <c r="C37">
        <v>80</v>
      </c>
      <c r="D37">
        <v>633</v>
      </c>
      <c r="E37">
        <v>26</v>
      </c>
      <c r="F37">
        <v>49</v>
      </c>
      <c r="G37">
        <v>3.14</v>
      </c>
      <c r="I37" t="s">
        <v>586</v>
      </c>
      <c r="J37" t="str">
        <f t="shared" si="0"/>
        <v>49 26</v>
      </c>
      <c r="K37">
        <f t="shared" si="1"/>
        <v>0</v>
      </c>
      <c r="L37">
        <f t="shared" si="2"/>
        <v>0</v>
      </c>
    </row>
    <row r="38" spans="1:12" x14ac:dyDescent="0.25">
      <c r="A38">
        <v>1994</v>
      </c>
      <c r="B38" t="s">
        <v>43</v>
      </c>
      <c r="C38">
        <v>135</v>
      </c>
      <c r="D38">
        <v>2653</v>
      </c>
      <c r="E38">
        <v>37</v>
      </c>
      <c r="F38">
        <v>63</v>
      </c>
      <c r="G38">
        <v>4.55</v>
      </c>
      <c r="I38" t="s">
        <v>587</v>
      </c>
      <c r="J38" t="str">
        <f t="shared" si="0"/>
        <v>63 37</v>
      </c>
      <c r="K38">
        <f t="shared" si="1"/>
        <v>0</v>
      </c>
      <c r="L38">
        <f t="shared" si="2"/>
        <v>0</v>
      </c>
    </row>
    <row r="39" spans="1:12" x14ac:dyDescent="0.25">
      <c r="A39">
        <v>1994</v>
      </c>
      <c r="B39" t="s">
        <v>44</v>
      </c>
      <c r="C39">
        <v>50</v>
      </c>
      <c r="D39">
        <v>1022</v>
      </c>
      <c r="E39">
        <v>37</v>
      </c>
      <c r="F39">
        <v>62</v>
      </c>
      <c r="G39">
        <v>4.82</v>
      </c>
      <c r="I39" t="s">
        <v>588</v>
      </c>
      <c r="J39" t="str">
        <f t="shared" si="0"/>
        <v>62 37</v>
      </c>
      <c r="K39">
        <f t="shared" si="1"/>
        <v>0</v>
      </c>
      <c r="L39">
        <f t="shared" si="2"/>
        <v>0</v>
      </c>
    </row>
    <row r="40" spans="1:12" x14ac:dyDescent="0.25">
      <c r="A40">
        <v>1994</v>
      </c>
      <c r="B40" t="s">
        <v>45</v>
      </c>
      <c r="C40">
        <v>485</v>
      </c>
      <c r="D40">
        <v>14235</v>
      </c>
      <c r="E40">
        <v>49</v>
      </c>
      <c r="F40">
        <v>69</v>
      </c>
      <c r="G40">
        <v>5.43</v>
      </c>
      <c r="I40" t="s">
        <v>589</v>
      </c>
      <c r="J40" t="str">
        <f t="shared" si="0"/>
        <v>69 49</v>
      </c>
      <c r="K40">
        <f t="shared" si="1"/>
        <v>0</v>
      </c>
      <c r="L40">
        <f t="shared" si="2"/>
        <v>0</v>
      </c>
    </row>
    <row r="41" spans="1:12" x14ac:dyDescent="0.25">
      <c r="A41">
        <v>1994</v>
      </c>
      <c r="B41" t="s">
        <v>46</v>
      </c>
      <c r="C41">
        <v>80</v>
      </c>
      <c r="D41">
        <v>2619</v>
      </c>
      <c r="E41">
        <v>39</v>
      </c>
      <c r="F41">
        <v>67</v>
      </c>
      <c r="G41">
        <v>5.98</v>
      </c>
      <c r="I41" t="s">
        <v>590</v>
      </c>
      <c r="J41" t="str">
        <f t="shared" si="0"/>
        <v>67 39</v>
      </c>
      <c r="K41">
        <f t="shared" si="1"/>
        <v>0</v>
      </c>
      <c r="L41">
        <f t="shared" si="2"/>
        <v>0</v>
      </c>
    </row>
    <row r="42" spans="1:12" x14ac:dyDescent="0.25">
      <c r="A42">
        <v>1994</v>
      </c>
      <c r="B42" t="s">
        <v>47</v>
      </c>
      <c r="C42">
        <v>30</v>
      </c>
      <c r="D42">
        <v>367</v>
      </c>
      <c r="E42">
        <v>32</v>
      </c>
      <c r="F42">
        <v>58</v>
      </c>
      <c r="G42">
        <v>3.77</v>
      </c>
      <c r="I42" t="s">
        <v>591</v>
      </c>
      <c r="J42" t="str">
        <f t="shared" si="0"/>
        <v>58 32</v>
      </c>
      <c r="K42">
        <f t="shared" si="1"/>
        <v>0</v>
      </c>
      <c r="L42">
        <f t="shared" si="2"/>
        <v>0</v>
      </c>
    </row>
    <row r="43" spans="1:12" x14ac:dyDescent="0.25">
      <c r="A43">
        <v>1994</v>
      </c>
      <c r="B43" t="s">
        <v>48</v>
      </c>
      <c r="C43">
        <v>133</v>
      </c>
      <c r="D43">
        <v>4514</v>
      </c>
      <c r="E43">
        <v>39</v>
      </c>
      <c r="F43">
        <v>64</v>
      </c>
      <c r="G43">
        <v>5.81</v>
      </c>
      <c r="I43" t="s">
        <v>592</v>
      </c>
      <c r="J43" t="str">
        <f t="shared" si="0"/>
        <v>64 39</v>
      </c>
      <c r="K43">
        <f t="shared" si="1"/>
        <v>0</v>
      </c>
      <c r="L43">
        <f t="shared" si="2"/>
        <v>0</v>
      </c>
    </row>
    <row r="44" spans="1:12" x14ac:dyDescent="0.25">
      <c r="A44">
        <v>1994</v>
      </c>
      <c r="B44" t="s">
        <v>49</v>
      </c>
      <c r="C44">
        <v>80</v>
      </c>
      <c r="D44">
        <v>2065</v>
      </c>
      <c r="E44">
        <v>39</v>
      </c>
      <c r="F44">
        <v>61</v>
      </c>
      <c r="G44">
        <v>5.45</v>
      </c>
      <c r="I44" t="s">
        <v>593</v>
      </c>
      <c r="J44" t="str">
        <f t="shared" si="0"/>
        <v>61 39</v>
      </c>
      <c r="K44">
        <f t="shared" si="1"/>
        <v>0</v>
      </c>
      <c r="L44">
        <f t="shared" si="2"/>
        <v>0</v>
      </c>
    </row>
    <row r="45" spans="1:12" x14ac:dyDescent="0.25">
      <c r="A45">
        <v>1994</v>
      </c>
      <c r="B45" t="s">
        <v>50</v>
      </c>
      <c r="C45">
        <v>50</v>
      </c>
      <c r="D45">
        <v>839</v>
      </c>
      <c r="E45">
        <v>39</v>
      </c>
      <c r="F45">
        <v>60</v>
      </c>
      <c r="G45">
        <v>4.16</v>
      </c>
      <c r="I45" t="s">
        <v>594</v>
      </c>
      <c r="J45" t="str">
        <f t="shared" si="0"/>
        <v>60 39</v>
      </c>
      <c r="K45">
        <f t="shared" si="1"/>
        <v>0</v>
      </c>
      <c r="L45">
        <f t="shared" si="2"/>
        <v>0</v>
      </c>
    </row>
    <row r="46" spans="1:12" x14ac:dyDescent="0.25">
      <c r="A46">
        <v>1994</v>
      </c>
      <c r="B46" t="s">
        <v>51</v>
      </c>
      <c r="C46">
        <v>58</v>
      </c>
      <c r="D46">
        <v>742</v>
      </c>
      <c r="E46">
        <v>30</v>
      </c>
      <c r="F46">
        <v>58</v>
      </c>
      <c r="G46">
        <v>4</v>
      </c>
      <c r="I46" t="s">
        <v>595</v>
      </c>
      <c r="J46" t="str">
        <f t="shared" si="0"/>
        <v>58 30</v>
      </c>
      <c r="K46">
        <f t="shared" si="1"/>
        <v>0</v>
      </c>
      <c r="L46">
        <f t="shared" si="2"/>
        <v>0</v>
      </c>
    </row>
    <row r="47" spans="1:12" x14ac:dyDescent="0.25">
      <c r="A47">
        <v>1994</v>
      </c>
      <c r="B47" t="s">
        <v>52</v>
      </c>
      <c r="C47">
        <v>25</v>
      </c>
      <c r="D47">
        <v>361</v>
      </c>
      <c r="E47">
        <v>29</v>
      </c>
      <c r="F47">
        <v>51</v>
      </c>
      <c r="G47">
        <v>4.4400000000000004</v>
      </c>
      <c r="I47" t="s">
        <v>596</v>
      </c>
      <c r="J47" t="str">
        <f t="shared" si="0"/>
        <v>51 29</v>
      </c>
      <c r="K47">
        <f t="shared" si="1"/>
        <v>0</v>
      </c>
      <c r="L47">
        <f t="shared" si="2"/>
        <v>0</v>
      </c>
    </row>
    <row r="48" spans="1:12" x14ac:dyDescent="0.25">
      <c r="A48">
        <v>1994</v>
      </c>
      <c r="B48" t="s">
        <v>53</v>
      </c>
      <c r="C48">
        <v>13</v>
      </c>
      <c r="D48">
        <v>129</v>
      </c>
      <c r="E48">
        <v>30</v>
      </c>
      <c r="F48">
        <v>48</v>
      </c>
      <c r="G48">
        <v>3.46</v>
      </c>
      <c r="I48" t="s">
        <v>597</v>
      </c>
      <c r="J48" t="str">
        <f t="shared" si="0"/>
        <v>48 30</v>
      </c>
      <c r="K48">
        <f t="shared" si="1"/>
        <v>0</v>
      </c>
      <c r="L48">
        <f t="shared" si="2"/>
        <v>0</v>
      </c>
    </row>
    <row r="49" spans="1:12" x14ac:dyDescent="0.25">
      <c r="A49">
        <v>1994</v>
      </c>
      <c r="B49" t="s">
        <v>54</v>
      </c>
      <c r="C49">
        <v>65</v>
      </c>
      <c r="D49">
        <v>2165</v>
      </c>
      <c r="E49">
        <v>36</v>
      </c>
      <c r="F49">
        <v>62</v>
      </c>
      <c r="G49">
        <v>5.8</v>
      </c>
      <c r="I49" t="s">
        <v>598</v>
      </c>
      <c r="J49" t="str">
        <f t="shared" si="0"/>
        <v>62 36</v>
      </c>
      <c r="K49">
        <f t="shared" si="1"/>
        <v>0</v>
      </c>
      <c r="L49">
        <f t="shared" si="2"/>
        <v>0</v>
      </c>
    </row>
    <row r="50" spans="1:12" x14ac:dyDescent="0.25">
      <c r="A50">
        <v>1994</v>
      </c>
      <c r="B50" t="s">
        <v>55</v>
      </c>
      <c r="C50">
        <v>55</v>
      </c>
      <c r="D50">
        <v>687</v>
      </c>
      <c r="E50">
        <v>28</v>
      </c>
      <c r="F50">
        <v>50</v>
      </c>
      <c r="G50">
        <v>4.0199999999999996</v>
      </c>
      <c r="I50" t="s">
        <v>599</v>
      </c>
      <c r="J50" t="str">
        <f t="shared" si="0"/>
        <v>50 28</v>
      </c>
      <c r="K50">
        <f t="shared" si="1"/>
        <v>0</v>
      </c>
      <c r="L50">
        <f t="shared" si="2"/>
        <v>0</v>
      </c>
    </row>
    <row r="51" spans="1:12" x14ac:dyDescent="0.25">
      <c r="A51">
        <v>1994</v>
      </c>
      <c r="B51" t="s">
        <v>56</v>
      </c>
      <c r="C51">
        <v>40</v>
      </c>
      <c r="D51">
        <v>1167</v>
      </c>
      <c r="E51">
        <v>32</v>
      </c>
      <c r="F51">
        <v>54</v>
      </c>
      <c r="G51">
        <v>6.25</v>
      </c>
      <c r="I51" t="s">
        <v>600</v>
      </c>
      <c r="J51" t="str">
        <f t="shared" si="0"/>
        <v>54 32</v>
      </c>
      <c r="K51">
        <f t="shared" si="1"/>
        <v>0</v>
      </c>
      <c r="L51">
        <f t="shared" si="2"/>
        <v>0</v>
      </c>
    </row>
    <row r="52" spans="1:12" x14ac:dyDescent="0.25">
      <c r="A52">
        <v>1994</v>
      </c>
      <c r="B52" t="s">
        <v>57</v>
      </c>
      <c r="C52">
        <v>70</v>
      </c>
      <c r="D52">
        <v>1749</v>
      </c>
      <c r="E52">
        <v>34</v>
      </c>
      <c r="F52">
        <v>62</v>
      </c>
      <c r="G52">
        <v>5.09</v>
      </c>
      <c r="I52" t="s">
        <v>601</v>
      </c>
      <c r="J52" t="str">
        <f t="shared" si="0"/>
        <v>62 34</v>
      </c>
      <c r="K52">
        <f t="shared" si="1"/>
        <v>0</v>
      </c>
      <c r="L52">
        <f t="shared" si="2"/>
        <v>0</v>
      </c>
    </row>
    <row r="53" spans="1:12" x14ac:dyDescent="0.25">
      <c r="A53">
        <v>1994</v>
      </c>
      <c r="B53" t="s">
        <v>58</v>
      </c>
      <c r="C53">
        <v>80</v>
      </c>
      <c r="D53">
        <v>1622</v>
      </c>
      <c r="E53">
        <v>31</v>
      </c>
      <c r="F53">
        <v>61</v>
      </c>
      <c r="G53">
        <v>5.04</v>
      </c>
      <c r="I53" t="s">
        <v>602</v>
      </c>
      <c r="J53" t="str">
        <f t="shared" si="0"/>
        <v>61 31</v>
      </c>
      <c r="K53">
        <f t="shared" si="1"/>
        <v>0</v>
      </c>
      <c r="L53">
        <f t="shared" si="2"/>
        <v>0</v>
      </c>
    </row>
    <row r="54" spans="1:12" x14ac:dyDescent="0.25">
      <c r="A54">
        <v>1994</v>
      </c>
      <c r="B54" t="s">
        <v>59</v>
      </c>
      <c r="C54">
        <v>50</v>
      </c>
      <c r="D54">
        <v>1344</v>
      </c>
      <c r="E54">
        <v>29</v>
      </c>
      <c r="F54">
        <v>58</v>
      </c>
      <c r="G54">
        <v>5.48</v>
      </c>
      <c r="I54" t="s">
        <v>603</v>
      </c>
      <c r="J54" t="str">
        <f t="shared" si="0"/>
        <v>58 29</v>
      </c>
      <c r="K54">
        <f t="shared" si="1"/>
        <v>0</v>
      </c>
      <c r="L54">
        <f t="shared" si="2"/>
        <v>0</v>
      </c>
    </row>
    <row r="55" spans="1:12" x14ac:dyDescent="0.25">
      <c r="A55">
        <v>1994</v>
      </c>
      <c r="B55" t="s">
        <v>60</v>
      </c>
      <c r="C55">
        <v>50</v>
      </c>
      <c r="D55">
        <v>541</v>
      </c>
      <c r="E55">
        <v>28</v>
      </c>
      <c r="F55">
        <v>54</v>
      </c>
      <c r="G55">
        <v>3.54</v>
      </c>
      <c r="I55" t="s">
        <v>604</v>
      </c>
      <c r="J55" t="str">
        <f t="shared" si="0"/>
        <v>54 28</v>
      </c>
      <c r="K55">
        <f t="shared" si="1"/>
        <v>0</v>
      </c>
      <c r="L55">
        <f t="shared" si="2"/>
        <v>0</v>
      </c>
    </row>
    <row r="56" spans="1:12" x14ac:dyDescent="0.25">
      <c r="A56">
        <v>1994</v>
      </c>
      <c r="B56" t="s">
        <v>61</v>
      </c>
      <c r="C56">
        <v>40</v>
      </c>
      <c r="D56">
        <v>333</v>
      </c>
      <c r="E56">
        <v>24</v>
      </c>
      <c r="F56">
        <v>52</v>
      </c>
      <c r="G56">
        <v>3</v>
      </c>
      <c r="I56" t="s">
        <v>605</v>
      </c>
      <c r="J56" t="str">
        <f t="shared" si="0"/>
        <v>52 24</v>
      </c>
      <c r="K56">
        <f t="shared" si="1"/>
        <v>0</v>
      </c>
      <c r="L56">
        <f t="shared" si="2"/>
        <v>0</v>
      </c>
    </row>
    <row r="57" spans="1:12" x14ac:dyDescent="0.25">
      <c r="A57">
        <v>1994</v>
      </c>
      <c r="B57" t="s">
        <v>62</v>
      </c>
      <c r="C57">
        <v>240</v>
      </c>
      <c r="D57">
        <v>1520</v>
      </c>
      <c r="E57">
        <v>30</v>
      </c>
      <c r="F57">
        <v>61</v>
      </c>
      <c r="G57">
        <v>2.64</v>
      </c>
      <c r="I57" t="s">
        <v>606</v>
      </c>
      <c r="J57" t="str">
        <f t="shared" si="0"/>
        <v>61 30</v>
      </c>
      <c r="K57">
        <f t="shared" si="1"/>
        <v>0</v>
      </c>
      <c r="L57">
        <f t="shared" si="2"/>
        <v>0</v>
      </c>
    </row>
    <row r="58" spans="1:12" x14ac:dyDescent="0.25">
      <c r="A58">
        <v>1994</v>
      </c>
      <c r="B58" t="s">
        <v>63</v>
      </c>
      <c r="C58">
        <v>40</v>
      </c>
      <c r="D58">
        <v>202</v>
      </c>
      <c r="E58">
        <v>27</v>
      </c>
      <c r="F58">
        <v>53</v>
      </c>
      <c r="G58">
        <v>2.2999999999999998</v>
      </c>
      <c r="I58" t="s">
        <v>607</v>
      </c>
      <c r="J58" t="str">
        <f t="shared" si="0"/>
        <v>53 27</v>
      </c>
      <c r="K58">
        <f t="shared" si="1"/>
        <v>0</v>
      </c>
      <c r="L58">
        <f t="shared" si="2"/>
        <v>0</v>
      </c>
    </row>
    <row r="59" spans="1:12" x14ac:dyDescent="0.25">
      <c r="A59">
        <v>1994</v>
      </c>
      <c r="B59" t="s">
        <v>64</v>
      </c>
      <c r="C59">
        <v>900</v>
      </c>
      <c r="D59">
        <v>6187</v>
      </c>
      <c r="E59">
        <v>28</v>
      </c>
      <c r="F59">
        <v>60</v>
      </c>
      <c r="G59">
        <v>2.83</v>
      </c>
      <c r="I59" t="s">
        <v>608</v>
      </c>
      <c r="J59" t="str">
        <f t="shared" si="0"/>
        <v>60 28</v>
      </c>
      <c r="K59">
        <f t="shared" si="1"/>
        <v>0</v>
      </c>
      <c r="L59">
        <f t="shared" si="2"/>
        <v>0</v>
      </c>
    </row>
    <row r="60" spans="1:12" x14ac:dyDescent="0.25">
      <c r="A60">
        <v>1994</v>
      </c>
      <c r="B60" t="s">
        <v>65</v>
      </c>
      <c r="C60">
        <v>844</v>
      </c>
      <c r="D60">
        <v>12058</v>
      </c>
      <c r="E60">
        <v>43</v>
      </c>
      <c r="F60">
        <v>70</v>
      </c>
      <c r="G60">
        <v>3.79</v>
      </c>
      <c r="I60" t="s">
        <v>609</v>
      </c>
      <c r="J60" t="str">
        <f t="shared" si="0"/>
        <v>70 43</v>
      </c>
      <c r="K60">
        <f t="shared" si="1"/>
        <v>0</v>
      </c>
      <c r="L60">
        <f t="shared" si="2"/>
        <v>0</v>
      </c>
    </row>
    <row r="61" spans="1:12" x14ac:dyDescent="0.25">
      <c r="A61">
        <v>1994</v>
      </c>
      <c r="B61" t="s">
        <v>66</v>
      </c>
      <c r="C61">
        <v>120</v>
      </c>
      <c r="D61">
        <v>1620</v>
      </c>
      <c r="E61">
        <v>42</v>
      </c>
      <c r="F61">
        <v>66</v>
      </c>
      <c r="G61">
        <v>3.78</v>
      </c>
      <c r="I61" t="s">
        <v>610</v>
      </c>
      <c r="J61" t="str">
        <f t="shared" si="0"/>
        <v>66 42</v>
      </c>
      <c r="K61">
        <f t="shared" si="1"/>
        <v>0</v>
      </c>
      <c r="L61">
        <f t="shared" si="2"/>
        <v>0</v>
      </c>
    </row>
    <row r="62" spans="1:12" x14ac:dyDescent="0.25">
      <c r="A62">
        <v>1994</v>
      </c>
      <c r="B62" t="s">
        <v>67</v>
      </c>
      <c r="C62">
        <v>60</v>
      </c>
      <c r="D62">
        <v>495</v>
      </c>
      <c r="E62">
        <v>36</v>
      </c>
      <c r="F62">
        <v>63</v>
      </c>
      <c r="G62">
        <v>3.02</v>
      </c>
      <c r="I62" t="s">
        <v>611</v>
      </c>
      <c r="J62" t="str">
        <f t="shared" si="0"/>
        <v>63 36</v>
      </c>
      <c r="K62">
        <f t="shared" si="1"/>
        <v>0</v>
      </c>
      <c r="L62">
        <f t="shared" si="2"/>
        <v>0</v>
      </c>
    </row>
    <row r="63" spans="1:12" x14ac:dyDescent="0.25">
      <c r="A63">
        <v>1994</v>
      </c>
      <c r="B63" t="s">
        <v>68</v>
      </c>
      <c r="C63">
        <v>230</v>
      </c>
      <c r="D63">
        <v>1962</v>
      </c>
      <c r="E63">
        <v>38</v>
      </c>
      <c r="F63">
        <v>68</v>
      </c>
      <c r="G63">
        <v>2.94</v>
      </c>
      <c r="I63" t="s">
        <v>612</v>
      </c>
      <c r="J63" t="str">
        <f t="shared" si="0"/>
        <v>68 38</v>
      </c>
      <c r="K63">
        <f t="shared" si="1"/>
        <v>0</v>
      </c>
      <c r="L63">
        <f t="shared" si="2"/>
        <v>0</v>
      </c>
    </row>
    <row r="64" spans="1:12" x14ac:dyDescent="0.25">
      <c r="A64">
        <v>1994</v>
      </c>
      <c r="B64" t="s">
        <v>69</v>
      </c>
      <c r="C64">
        <v>50</v>
      </c>
      <c r="D64">
        <v>242</v>
      </c>
      <c r="E64">
        <v>30</v>
      </c>
      <c r="F64">
        <v>59</v>
      </c>
      <c r="G64">
        <v>2.38</v>
      </c>
      <c r="I64" t="s">
        <v>613</v>
      </c>
      <c r="J64" t="str">
        <f t="shared" si="0"/>
        <v>59 30</v>
      </c>
      <c r="K64">
        <f t="shared" si="1"/>
        <v>0</v>
      </c>
      <c r="L64">
        <f t="shared" si="2"/>
        <v>0</v>
      </c>
    </row>
    <row r="65" spans="1:12" x14ac:dyDescent="0.25">
      <c r="A65">
        <v>1994</v>
      </c>
      <c r="B65" t="s">
        <v>70</v>
      </c>
      <c r="C65">
        <v>40</v>
      </c>
      <c r="D65">
        <v>154</v>
      </c>
      <c r="E65">
        <v>25</v>
      </c>
      <c r="F65">
        <v>52</v>
      </c>
      <c r="G65">
        <v>1.98</v>
      </c>
      <c r="I65" t="s">
        <v>614</v>
      </c>
      <c r="J65" t="str">
        <f t="shared" si="0"/>
        <v>52 25</v>
      </c>
      <c r="K65">
        <f t="shared" si="1"/>
        <v>0</v>
      </c>
      <c r="L65">
        <f t="shared" si="2"/>
        <v>0</v>
      </c>
    </row>
    <row r="66" spans="1:12" x14ac:dyDescent="0.25">
      <c r="A66">
        <v>1994</v>
      </c>
      <c r="B66" t="s">
        <v>71</v>
      </c>
      <c r="C66">
        <v>130</v>
      </c>
      <c r="D66">
        <v>328</v>
      </c>
      <c r="E66">
        <v>22</v>
      </c>
      <c r="F66">
        <v>60</v>
      </c>
      <c r="G66">
        <v>1.58</v>
      </c>
      <c r="I66" t="s">
        <v>615</v>
      </c>
      <c r="J66" t="str">
        <f t="shared" si="0"/>
        <v>60 22</v>
      </c>
      <c r="K66">
        <f t="shared" si="1"/>
        <v>0</v>
      </c>
      <c r="L66">
        <f t="shared" si="2"/>
        <v>0</v>
      </c>
    </row>
    <row r="67" spans="1:12" x14ac:dyDescent="0.25">
      <c r="A67">
        <v>1994</v>
      </c>
      <c r="B67" t="s">
        <v>72</v>
      </c>
      <c r="C67">
        <v>100</v>
      </c>
      <c r="D67">
        <v>2183</v>
      </c>
      <c r="E67">
        <v>38</v>
      </c>
      <c r="F67">
        <v>62</v>
      </c>
      <c r="G67">
        <v>4.67</v>
      </c>
      <c r="I67" t="s">
        <v>616</v>
      </c>
      <c r="J67" t="str">
        <f t="shared" ref="J67:J74" si="3">RIGHT(I67,5)</f>
        <v>62 38</v>
      </c>
      <c r="K67">
        <f t="shared" ref="K67:K74" si="4">VALUE(RIGHT(J67,2))-E67</f>
        <v>0</v>
      </c>
      <c r="L67">
        <f t="shared" ref="L67:L74" si="5">VALUE(LEFT(J67,2))-F67</f>
        <v>0</v>
      </c>
    </row>
    <row r="68" spans="1:12" x14ac:dyDescent="0.25">
      <c r="A68">
        <v>1994</v>
      </c>
      <c r="B68" t="s">
        <v>73</v>
      </c>
      <c r="C68">
        <v>250</v>
      </c>
      <c r="D68">
        <v>1330</v>
      </c>
      <c r="E68">
        <v>26</v>
      </c>
      <c r="F68">
        <v>55</v>
      </c>
      <c r="G68">
        <v>2.4900000000000002</v>
      </c>
      <c r="I68" t="s">
        <v>617</v>
      </c>
      <c r="J68" t="str">
        <f t="shared" si="3"/>
        <v>55 26</v>
      </c>
      <c r="K68">
        <f t="shared" si="4"/>
        <v>0</v>
      </c>
      <c r="L68">
        <f t="shared" si="5"/>
        <v>0</v>
      </c>
    </row>
    <row r="69" spans="1:12" x14ac:dyDescent="0.25">
      <c r="A69">
        <v>1994</v>
      </c>
      <c r="B69" t="s">
        <v>74</v>
      </c>
      <c r="C69">
        <v>270</v>
      </c>
      <c r="D69">
        <v>984</v>
      </c>
      <c r="E69">
        <v>32</v>
      </c>
      <c r="F69">
        <v>67</v>
      </c>
      <c r="G69">
        <v>2</v>
      </c>
      <c r="I69" t="s">
        <v>618</v>
      </c>
      <c r="J69" t="str">
        <f t="shared" si="3"/>
        <v>67 32</v>
      </c>
      <c r="K69">
        <f t="shared" si="4"/>
        <v>0</v>
      </c>
      <c r="L69">
        <f t="shared" si="5"/>
        <v>0</v>
      </c>
    </row>
    <row r="70" spans="1:12" x14ac:dyDescent="0.25">
      <c r="A70">
        <v>1994</v>
      </c>
      <c r="B70" t="s">
        <v>75</v>
      </c>
      <c r="C70">
        <v>60</v>
      </c>
      <c r="D70">
        <v>398</v>
      </c>
      <c r="E70">
        <v>34</v>
      </c>
      <c r="F70">
        <v>67</v>
      </c>
      <c r="G70">
        <v>2.72</v>
      </c>
      <c r="I70" t="s">
        <v>619</v>
      </c>
      <c r="J70" t="str">
        <f t="shared" si="3"/>
        <v>67 34</v>
      </c>
      <c r="K70">
        <f t="shared" si="4"/>
        <v>0</v>
      </c>
      <c r="L70">
        <f t="shared" si="5"/>
        <v>0</v>
      </c>
    </row>
    <row r="71" spans="1:12" x14ac:dyDescent="0.25">
      <c r="A71">
        <v>1994</v>
      </c>
      <c r="B71" t="s">
        <v>76</v>
      </c>
      <c r="C71">
        <v>40</v>
      </c>
      <c r="D71">
        <v>173</v>
      </c>
      <c r="E71">
        <v>28</v>
      </c>
      <c r="F71">
        <v>53</v>
      </c>
      <c r="G71">
        <v>2.5299999999999998</v>
      </c>
      <c r="I71" t="s">
        <v>620</v>
      </c>
      <c r="J71" t="str">
        <f t="shared" si="3"/>
        <v>53 28</v>
      </c>
      <c r="K71">
        <f t="shared" si="4"/>
        <v>0</v>
      </c>
      <c r="L71">
        <f t="shared" si="5"/>
        <v>0</v>
      </c>
    </row>
    <row r="72" spans="1:12" x14ac:dyDescent="0.25">
      <c r="A72">
        <v>1994</v>
      </c>
      <c r="B72" t="s">
        <v>77</v>
      </c>
      <c r="C72">
        <v>90</v>
      </c>
      <c r="D72">
        <v>422</v>
      </c>
      <c r="E72">
        <v>28</v>
      </c>
      <c r="F72">
        <v>62</v>
      </c>
      <c r="G72">
        <v>2.21</v>
      </c>
      <c r="I72" t="s">
        <v>621</v>
      </c>
      <c r="J72" t="str">
        <f t="shared" si="3"/>
        <v>62 28</v>
      </c>
      <c r="K72">
        <f t="shared" si="4"/>
        <v>0</v>
      </c>
      <c r="L72">
        <f t="shared" si="5"/>
        <v>0</v>
      </c>
    </row>
    <row r="73" spans="1:12" x14ac:dyDescent="0.25">
      <c r="A73">
        <v>1994</v>
      </c>
      <c r="B73" t="s">
        <v>78</v>
      </c>
      <c r="C73">
        <v>70</v>
      </c>
      <c r="D73">
        <v>381</v>
      </c>
      <c r="E73">
        <v>29</v>
      </c>
      <c r="F73">
        <v>62</v>
      </c>
      <c r="G73">
        <v>2.39</v>
      </c>
      <c r="I73" t="s">
        <v>622</v>
      </c>
      <c r="J73" t="str">
        <f t="shared" si="3"/>
        <v>62 29</v>
      </c>
      <c r="K73">
        <f t="shared" si="4"/>
        <v>0</v>
      </c>
      <c r="L73">
        <f t="shared" si="5"/>
        <v>0</v>
      </c>
    </row>
    <row r="74" spans="1:12" x14ac:dyDescent="0.25">
      <c r="A74">
        <v>1994</v>
      </c>
      <c r="B74" t="s">
        <v>79</v>
      </c>
      <c r="C74">
        <v>900</v>
      </c>
      <c r="D74">
        <v>3901</v>
      </c>
      <c r="E74">
        <v>29</v>
      </c>
      <c r="F74">
        <v>61</v>
      </c>
      <c r="G74">
        <v>2.16</v>
      </c>
      <c r="I74" t="s">
        <v>623</v>
      </c>
      <c r="J74" t="str">
        <f t="shared" si="3"/>
        <v>61 29</v>
      </c>
      <c r="K74">
        <f t="shared" si="4"/>
        <v>0</v>
      </c>
      <c r="L74">
        <f t="shared" si="5"/>
        <v>0</v>
      </c>
    </row>
    <row r="75" spans="1:12" x14ac:dyDescent="0.25">
      <c r="A75">
        <v>1995</v>
      </c>
      <c r="B75" t="s">
        <v>80</v>
      </c>
      <c r="C75">
        <v>30</v>
      </c>
      <c r="D75">
        <v>275</v>
      </c>
      <c r="E75">
        <v>63</v>
      </c>
      <c r="F75">
        <v>98</v>
      </c>
      <c r="G75">
        <v>2.2999999999999998</v>
      </c>
      <c r="I75" t="s">
        <v>624</v>
      </c>
      <c r="J75" t="str">
        <f>RIGHT(I75,6)</f>
        <v xml:space="preserve"> 98 63</v>
      </c>
      <c r="K75">
        <f t="shared" ref="K75:K138" si="6">VALUE(RIGHT(J75,2))-E75</f>
        <v>0</v>
      </c>
      <c r="L75">
        <f>VALUE(LEFT(J75,3))-F75</f>
        <v>0</v>
      </c>
    </row>
    <row r="76" spans="1:12" x14ac:dyDescent="0.25">
      <c r="A76">
        <v>1995</v>
      </c>
      <c r="B76" t="s">
        <v>8</v>
      </c>
      <c r="C76">
        <v>15</v>
      </c>
      <c r="D76">
        <v>381</v>
      </c>
      <c r="E76">
        <v>70</v>
      </c>
      <c r="F76">
        <v>127</v>
      </c>
      <c r="G76">
        <v>4.2699999999999996</v>
      </c>
      <c r="I76" t="s">
        <v>625</v>
      </c>
      <c r="J76" t="str">
        <f t="shared" ref="J76:J139" si="7">RIGHT(I76,6)</f>
        <v>127 70</v>
      </c>
      <c r="K76">
        <f t="shared" si="6"/>
        <v>0</v>
      </c>
      <c r="L76">
        <f t="shared" ref="L76:L139" si="8">VALUE(LEFT(J76,3))-F76</f>
        <v>0</v>
      </c>
    </row>
    <row r="77" spans="1:12" x14ac:dyDescent="0.25">
      <c r="A77">
        <v>1995</v>
      </c>
      <c r="B77" t="s">
        <v>9</v>
      </c>
      <c r="C77">
        <v>10</v>
      </c>
      <c r="D77">
        <v>142</v>
      </c>
      <c r="E77">
        <v>59</v>
      </c>
      <c r="F77">
        <v>99</v>
      </c>
      <c r="G77">
        <v>3.4</v>
      </c>
      <c r="I77" t="s">
        <v>626</v>
      </c>
      <c r="J77" t="str">
        <f t="shared" si="7"/>
        <v xml:space="preserve"> 99 59</v>
      </c>
      <c r="K77">
        <f t="shared" si="6"/>
        <v>0</v>
      </c>
      <c r="L77">
        <f t="shared" si="8"/>
        <v>0</v>
      </c>
    </row>
    <row r="78" spans="1:12" x14ac:dyDescent="0.25">
      <c r="A78">
        <v>1995</v>
      </c>
      <c r="B78" t="s">
        <v>10</v>
      </c>
      <c r="C78">
        <v>20</v>
      </c>
      <c r="D78">
        <v>394</v>
      </c>
      <c r="E78">
        <v>68</v>
      </c>
      <c r="F78">
        <v>137</v>
      </c>
      <c r="G78">
        <v>3.75</v>
      </c>
      <c r="I78" t="s">
        <v>627</v>
      </c>
      <c r="J78" t="str">
        <f t="shared" si="7"/>
        <v>137 68</v>
      </c>
      <c r="K78">
        <f t="shared" si="6"/>
        <v>0</v>
      </c>
      <c r="L78">
        <f t="shared" si="8"/>
        <v>0</v>
      </c>
    </row>
    <row r="79" spans="1:12" x14ac:dyDescent="0.25">
      <c r="A79">
        <v>1995</v>
      </c>
      <c r="B79" t="s">
        <v>81</v>
      </c>
      <c r="C79">
        <v>30</v>
      </c>
      <c r="D79">
        <v>310</v>
      </c>
      <c r="E79">
        <v>57</v>
      </c>
      <c r="F79">
        <v>117</v>
      </c>
      <c r="G79">
        <v>2.4700000000000002</v>
      </c>
      <c r="I79" t="s">
        <v>628</v>
      </c>
      <c r="J79" t="str">
        <f t="shared" si="7"/>
        <v>117 57</v>
      </c>
      <c r="K79">
        <f t="shared" si="6"/>
        <v>0</v>
      </c>
      <c r="L79">
        <f t="shared" si="8"/>
        <v>0</v>
      </c>
    </row>
    <row r="80" spans="1:12" x14ac:dyDescent="0.25">
      <c r="A80">
        <v>1995</v>
      </c>
      <c r="B80" t="s">
        <v>82</v>
      </c>
      <c r="C80">
        <v>40</v>
      </c>
      <c r="D80">
        <v>201</v>
      </c>
      <c r="E80">
        <v>44</v>
      </c>
      <c r="F80">
        <v>73</v>
      </c>
      <c r="G80">
        <v>1.85</v>
      </c>
      <c r="I80" t="s">
        <v>629</v>
      </c>
      <c r="J80" t="str">
        <f t="shared" si="7"/>
        <v xml:space="preserve"> 73 44</v>
      </c>
      <c r="K80">
        <f t="shared" si="6"/>
        <v>0</v>
      </c>
      <c r="L80">
        <f t="shared" si="8"/>
        <v>0</v>
      </c>
    </row>
    <row r="81" spans="1:12" x14ac:dyDescent="0.25">
      <c r="A81">
        <v>1995</v>
      </c>
      <c r="B81" t="s">
        <v>13</v>
      </c>
      <c r="C81">
        <v>15</v>
      </c>
      <c r="D81">
        <v>358</v>
      </c>
      <c r="E81">
        <v>82</v>
      </c>
      <c r="F81">
        <v>124</v>
      </c>
      <c r="G81">
        <v>4.93</v>
      </c>
      <c r="I81" t="s">
        <v>630</v>
      </c>
      <c r="J81" t="str">
        <f t="shared" si="7"/>
        <v>124 82</v>
      </c>
      <c r="K81">
        <f t="shared" si="6"/>
        <v>0</v>
      </c>
      <c r="L81">
        <f t="shared" si="8"/>
        <v>0</v>
      </c>
    </row>
    <row r="82" spans="1:12" x14ac:dyDescent="0.25">
      <c r="A82">
        <v>1995</v>
      </c>
      <c r="B82" t="s">
        <v>14</v>
      </c>
      <c r="C82">
        <v>15</v>
      </c>
      <c r="D82">
        <v>539</v>
      </c>
      <c r="E82">
        <v>75</v>
      </c>
      <c r="F82">
        <v>122</v>
      </c>
      <c r="G82">
        <v>5.53</v>
      </c>
      <c r="I82" t="s">
        <v>631</v>
      </c>
      <c r="J82" t="str">
        <f t="shared" si="7"/>
        <v>122 75</v>
      </c>
      <c r="K82">
        <f t="shared" si="6"/>
        <v>0</v>
      </c>
      <c r="L82">
        <f t="shared" si="8"/>
        <v>0</v>
      </c>
    </row>
    <row r="83" spans="1:12" x14ac:dyDescent="0.25">
      <c r="A83">
        <v>1995</v>
      </c>
      <c r="B83" t="s">
        <v>15</v>
      </c>
      <c r="C83">
        <v>45</v>
      </c>
      <c r="D83">
        <v>2583</v>
      </c>
      <c r="E83">
        <v>80</v>
      </c>
      <c r="F83">
        <v>132</v>
      </c>
      <c r="G83">
        <v>7.27</v>
      </c>
      <c r="I83" t="s">
        <v>632</v>
      </c>
      <c r="J83" t="str">
        <f t="shared" si="7"/>
        <v>132 80</v>
      </c>
      <c r="K83">
        <f t="shared" si="6"/>
        <v>0</v>
      </c>
      <c r="L83">
        <f t="shared" si="8"/>
        <v>0</v>
      </c>
    </row>
    <row r="84" spans="1:12" x14ac:dyDescent="0.25">
      <c r="A84">
        <v>1995</v>
      </c>
      <c r="B84" t="s">
        <v>16</v>
      </c>
      <c r="C84">
        <v>40</v>
      </c>
      <c r="D84">
        <v>3400</v>
      </c>
      <c r="E84">
        <v>79</v>
      </c>
      <c r="F84">
        <v>136</v>
      </c>
      <c r="G84">
        <v>8.4499999999999993</v>
      </c>
      <c r="I84" t="s">
        <v>633</v>
      </c>
      <c r="J84" t="str">
        <f t="shared" si="7"/>
        <v>136 79</v>
      </c>
      <c r="K84">
        <f t="shared" si="6"/>
        <v>0</v>
      </c>
      <c r="L84">
        <f t="shared" si="8"/>
        <v>0</v>
      </c>
    </row>
    <row r="85" spans="1:12" x14ac:dyDescent="0.25">
      <c r="A85">
        <v>1995</v>
      </c>
      <c r="B85" t="s">
        <v>17</v>
      </c>
      <c r="C85">
        <v>20</v>
      </c>
      <c r="D85">
        <v>518</v>
      </c>
      <c r="E85">
        <v>71</v>
      </c>
      <c r="F85">
        <v>126</v>
      </c>
      <c r="G85">
        <v>4.8499999999999996</v>
      </c>
      <c r="I85" t="s">
        <v>634</v>
      </c>
      <c r="J85" t="str">
        <f t="shared" si="7"/>
        <v>126 71</v>
      </c>
      <c r="K85">
        <f t="shared" si="6"/>
        <v>0</v>
      </c>
      <c r="L85">
        <f t="shared" si="8"/>
        <v>0</v>
      </c>
    </row>
    <row r="86" spans="1:12" x14ac:dyDescent="0.25">
      <c r="A86">
        <v>1995</v>
      </c>
      <c r="B86" t="s">
        <v>18</v>
      </c>
      <c r="C86">
        <v>20</v>
      </c>
      <c r="D86">
        <v>625</v>
      </c>
      <c r="E86">
        <v>68</v>
      </c>
      <c r="F86">
        <v>111</v>
      </c>
      <c r="G86">
        <v>5.05</v>
      </c>
      <c r="I86" t="s">
        <v>635</v>
      </c>
      <c r="J86" t="str">
        <f t="shared" si="7"/>
        <v>111 68</v>
      </c>
      <c r="K86">
        <f t="shared" si="6"/>
        <v>0</v>
      </c>
      <c r="L86">
        <f t="shared" si="8"/>
        <v>0</v>
      </c>
    </row>
    <row r="87" spans="1:12" x14ac:dyDescent="0.25">
      <c r="A87">
        <v>1995</v>
      </c>
      <c r="B87" t="s">
        <v>19</v>
      </c>
      <c r="C87">
        <v>20</v>
      </c>
      <c r="D87">
        <v>1024</v>
      </c>
      <c r="E87">
        <v>70</v>
      </c>
      <c r="F87">
        <v>110</v>
      </c>
      <c r="G87">
        <v>6.05</v>
      </c>
      <c r="I87" t="s">
        <v>636</v>
      </c>
      <c r="J87" t="str">
        <f t="shared" si="7"/>
        <v>110 70</v>
      </c>
      <c r="K87">
        <f t="shared" si="6"/>
        <v>0</v>
      </c>
      <c r="L87">
        <f t="shared" si="8"/>
        <v>0</v>
      </c>
    </row>
    <row r="88" spans="1:12" x14ac:dyDescent="0.25">
      <c r="A88">
        <v>1995</v>
      </c>
      <c r="B88" t="s">
        <v>20</v>
      </c>
      <c r="C88">
        <v>200</v>
      </c>
      <c r="D88">
        <v>1354</v>
      </c>
      <c r="E88">
        <v>62</v>
      </c>
      <c r="F88">
        <v>123</v>
      </c>
      <c r="G88">
        <v>2.06</v>
      </c>
      <c r="I88" t="s">
        <v>637</v>
      </c>
      <c r="J88" t="str">
        <f t="shared" si="7"/>
        <v>123 62</v>
      </c>
      <c r="K88">
        <f t="shared" si="6"/>
        <v>0</v>
      </c>
      <c r="L88">
        <f t="shared" si="8"/>
        <v>0</v>
      </c>
    </row>
    <row r="89" spans="1:12" x14ac:dyDescent="0.25">
      <c r="A89">
        <v>1995</v>
      </c>
      <c r="B89" t="s">
        <v>83</v>
      </c>
      <c r="C89">
        <v>40</v>
      </c>
      <c r="D89">
        <v>115</v>
      </c>
      <c r="E89">
        <v>47</v>
      </c>
      <c r="F89">
        <v>98</v>
      </c>
      <c r="G89">
        <v>1.53</v>
      </c>
      <c r="I89" t="s">
        <v>638</v>
      </c>
      <c r="J89" t="str">
        <f t="shared" si="7"/>
        <v xml:space="preserve"> 98 47</v>
      </c>
      <c r="K89">
        <f t="shared" si="6"/>
        <v>0</v>
      </c>
      <c r="L89">
        <f t="shared" si="8"/>
        <v>0</v>
      </c>
    </row>
    <row r="90" spans="1:12" x14ac:dyDescent="0.25">
      <c r="A90">
        <v>1995</v>
      </c>
      <c r="B90" t="s">
        <v>22</v>
      </c>
      <c r="C90">
        <v>160</v>
      </c>
      <c r="D90">
        <v>615</v>
      </c>
      <c r="E90">
        <v>60</v>
      </c>
      <c r="F90">
        <v>126</v>
      </c>
      <c r="G90">
        <v>1.46</v>
      </c>
      <c r="I90" t="s">
        <v>639</v>
      </c>
      <c r="J90" t="str">
        <f t="shared" si="7"/>
        <v>126 60</v>
      </c>
      <c r="K90">
        <f t="shared" si="6"/>
        <v>0</v>
      </c>
      <c r="L90">
        <f t="shared" si="8"/>
        <v>0</v>
      </c>
    </row>
    <row r="91" spans="1:12" x14ac:dyDescent="0.25">
      <c r="A91">
        <v>1995</v>
      </c>
      <c r="B91" t="s">
        <v>23</v>
      </c>
      <c r="C91">
        <v>160</v>
      </c>
      <c r="D91">
        <v>695</v>
      </c>
      <c r="E91">
        <v>57</v>
      </c>
      <c r="F91">
        <v>106</v>
      </c>
      <c r="G91">
        <v>1.51</v>
      </c>
      <c r="I91" t="s">
        <v>640</v>
      </c>
      <c r="J91" t="str">
        <f t="shared" si="7"/>
        <v>106 57</v>
      </c>
      <c r="K91">
        <f t="shared" si="6"/>
        <v>0</v>
      </c>
      <c r="L91">
        <f t="shared" si="8"/>
        <v>0</v>
      </c>
    </row>
    <row r="92" spans="1:12" x14ac:dyDescent="0.25">
      <c r="A92">
        <v>1995</v>
      </c>
      <c r="B92" t="s">
        <v>24</v>
      </c>
      <c r="C92">
        <v>260</v>
      </c>
      <c r="D92">
        <v>1527</v>
      </c>
      <c r="E92">
        <v>61</v>
      </c>
      <c r="F92">
        <v>124</v>
      </c>
      <c r="G92">
        <v>1.93</v>
      </c>
      <c r="I92" t="s">
        <v>641</v>
      </c>
      <c r="J92" t="str">
        <f t="shared" si="7"/>
        <v>124 61</v>
      </c>
      <c r="K92">
        <f t="shared" si="6"/>
        <v>0</v>
      </c>
      <c r="L92">
        <f t="shared" si="8"/>
        <v>0</v>
      </c>
    </row>
    <row r="93" spans="1:12" x14ac:dyDescent="0.25">
      <c r="A93">
        <v>1995</v>
      </c>
      <c r="B93" t="s">
        <v>25</v>
      </c>
      <c r="C93">
        <v>875</v>
      </c>
      <c r="D93">
        <v>4652</v>
      </c>
      <c r="E93">
        <v>57</v>
      </c>
      <c r="F93">
        <v>126</v>
      </c>
      <c r="G93">
        <v>1.7</v>
      </c>
      <c r="I93" t="s">
        <v>642</v>
      </c>
      <c r="J93" t="str">
        <f t="shared" si="7"/>
        <v>126 57</v>
      </c>
      <c r="K93">
        <f t="shared" si="6"/>
        <v>0</v>
      </c>
      <c r="L93">
        <f t="shared" si="8"/>
        <v>0</v>
      </c>
    </row>
    <row r="94" spans="1:12" x14ac:dyDescent="0.25">
      <c r="A94">
        <v>1995</v>
      </c>
      <c r="B94" t="s">
        <v>26</v>
      </c>
      <c r="C94">
        <v>400</v>
      </c>
      <c r="D94">
        <v>8992</v>
      </c>
      <c r="E94">
        <v>74</v>
      </c>
      <c r="F94">
        <v>138</v>
      </c>
      <c r="G94">
        <v>4.34</v>
      </c>
      <c r="I94" t="s">
        <v>643</v>
      </c>
      <c r="J94" t="str">
        <f t="shared" si="7"/>
        <v>138 74</v>
      </c>
      <c r="K94">
        <f t="shared" si="6"/>
        <v>0</v>
      </c>
      <c r="L94">
        <f t="shared" si="8"/>
        <v>0</v>
      </c>
    </row>
    <row r="95" spans="1:12" x14ac:dyDescent="0.25">
      <c r="A95">
        <v>1995</v>
      </c>
      <c r="B95" t="s">
        <v>84</v>
      </c>
      <c r="C95">
        <v>40</v>
      </c>
      <c r="D95">
        <v>579</v>
      </c>
      <c r="E95">
        <v>69</v>
      </c>
      <c r="F95">
        <v>113</v>
      </c>
      <c r="G95">
        <v>3.2</v>
      </c>
      <c r="I95" t="s">
        <v>644</v>
      </c>
      <c r="J95" t="str">
        <f t="shared" si="7"/>
        <v>113 69</v>
      </c>
      <c r="K95">
        <f t="shared" si="6"/>
        <v>0</v>
      </c>
      <c r="L95">
        <f t="shared" si="8"/>
        <v>0</v>
      </c>
    </row>
    <row r="96" spans="1:12" x14ac:dyDescent="0.25">
      <c r="A96">
        <v>1995</v>
      </c>
      <c r="B96" t="s">
        <v>28</v>
      </c>
      <c r="C96">
        <v>140</v>
      </c>
      <c r="D96">
        <v>1968</v>
      </c>
      <c r="E96">
        <v>64</v>
      </c>
      <c r="F96">
        <v>125</v>
      </c>
      <c r="G96">
        <v>2.99</v>
      </c>
      <c r="I96" t="s">
        <v>645</v>
      </c>
      <c r="J96" t="str">
        <f t="shared" si="7"/>
        <v>125 64</v>
      </c>
      <c r="K96">
        <f t="shared" si="6"/>
        <v>0</v>
      </c>
      <c r="L96">
        <f t="shared" si="8"/>
        <v>0</v>
      </c>
    </row>
    <row r="97" spans="1:12" x14ac:dyDescent="0.25">
      <c r="A97">
        <v>1995</v>
      </c>
      <c r="B97" t="s">
        <v>85</v>
      </c>
      <c r="C97">
        <v>40</v>
      </c>
      <c r="D97">
        <v>290</v>
      </c>
      <c r="E97">
        <v>56</v>
      </c>
      <c r="F97">
        <v>104</v>
      </c>
      <c r="G97">
        <v>2.1</v>
      </c>
      <c r="I97" t="s">
        <v>646</v>
      </c>
      <c r="J97" t="str">
        <f t="shared" si="7"/>
        <v>104 56</v>
      </c>
      <c r="K97">
        <f t="shared" si="6"/>
        <v>0</v>
      </c>
      <c r="L97">
        <f t="shared" si="8"/>
        <v>0</v>
      </c>
    </row>
    <row r="98" spans="1:12" x14ac:dyDescent="0.25">
      <c r="A98">
        <v>1995</v>
      </c>
      <c r="B98" t="s">
        <v>30</v>
      </c>
      <c r="C98">
        <v>180</v>
      </c>
      <c r="D98">
        <v>1922</v>
      </c>
      <c r="E98">
        <v>73</v>
      </c>
      <c r="F98">
        <v>134</v>
      </c>
      <c r="G98">
        <v>2.89</v>
      </c>
      <c r="I98" t="s">
        <v>647</v>
      </c>
      <c r="J98" t="str">
        <f t="shared" si="7"/>
        <v>134 73</v>
      </c>
      <c r="K98">
        <f t="shared" si="6"/>
        <v>0</v>
      </c>
      <c r="L98">
        <f t="shared" si="8"/>
        <v>0</v>
      </c>
    </row>
    <row r="99" spans="1:12" x14ac:dyDescent="0.25">
      <c r="A99">
        <v>1995</v>
      </c>
      <c r="B99" t="s">
        <v>86</v>
      </c>
      <c r="C99">
        <v>40</v>
      </c>
      <c r="D99">
        <v>317</v>
      </c>
      <c r="E99">
        <v>67</v>
      </c>
      <c r="F99">
        <v>117</v>
      </c>
      <c r="G99">
        <v>2.5</v>
      </c>
      <c r="I99" t="s">
        <v>648</v>
      </c>
      <c r="J99" t="str">
        <f t="shared" si="7"/>
        <v>117 67</v>
      </c>
      <c r="K99">
        <f t="shared" si="6"/>
        <v>0</v>
      </c>
      <c r="L99">
        <f t="shared" si="8"/>
        <v>0</v>
      </c>
    </row>
    <row r="100" spans="1:12" x14ac:dyDescent="0.25">
      <c r="A100">
        <v>1995</v>
      </c>
      <c r="B100" t="s">
        <v>87</v>
      </c>
      <c r="C100">
        <v>150</v>
      </c>
      <c r="D100">
        <v>3178</v>
      </c>
      <c r="E100">
        <v>78</v>
      </c>
      <c r="F100">
        <v>138</v>
      </c>
      <c r="G100">
        <v>4.41</v>
      </c>
      <c r="I100" t="s">
        <v>649</v>
      </c>
      <c r="J100" t="str">
        <f t="shared" si="7"/>
        <v>138 78</v>
      </c>
      <c r="K100">
        <f t="shared" si="6"/>
        <v>0</v>
      </c>
      <c r="L100">
        <f t="shared" si="8"/>
        <v>0</v>
      </c>
    </row>
    <row r="101" spans="1:12" x14ac:dyDescent="0.25">
      <c r="A101">
        <v>1995</v>
      </c>
      <c r="B101" t="s">
        <v>88</v>
      </c>
      <c r="C101">
        <v>30</v>
      </c>
      <c r="D101">
        <v>641</v>
      </c>
      <c r="E101">
        <v>72</v>
      </c>
      <c r="F101">
        <v>115</v>
      </c>
      <c r="G101">
        <v>4</v>
      </c>
      <c r="I101" t="s">
        <v>650</v>
      </c>
      <c r="J101" t="str">
        <f t="shared" si="7"/>
        <v>115 72</v>
      </c>
      <c r="K101">
        <f t="shared" si="6"/>
        <v>0</v>
      </c>
      <c r="L101">
        <f t="shared" si="8"/>
        <v>0</v>
      </c>
    </row>
    <row r="102" spans="1:12" x14ac:dyDescent="0.25">
      <c r="A102">
        <v>1995</v>
      </c>
      <c r="B102" t="s">
        <v>34</v>
      </c>
      <c r="C102">
        <v>450</v>
      </c>
      <c r="D102">
        <v>16251</v>
      </c>
      <c r="E102">
        <v>76</v>
      </c>
      <c r="F102">
        <v>139</v>
      </c>
      <c r="G102">
        <v>5.7</v>
      </c>
      <c r="I102" t="s">
        <v>651</v>
      </c>
      <c r="J102" t="str">
        <f t="shared" si="7"/>
        <v>139 76</v>
      </c>
      <c r="K102">
        <f t="shared" si="6"/>
        <v>0</v>
      </c>
      <c r="L102">
        <f t="shared" si="8"/>
        <v>0</v>
      </c>
    </row>
    <row r="103" spans="1:12" x14ac:dyDescent="0.25">
      <c r="A103">
        <v>1995</v>
      </c>
      <c r="B103" t="s">
        <v>35</v>
      </c>
      <c r="C103">
        <v>120</v>
      </c>
      <c r="D103">
        <v>1661</v>
      </c>
      <c r="E103">
        <v>53</v>
      </c>
      <c r="F103">
        <v>131</v>
      </c>
      <c r="G103">
        <v>2.78</v>
      </c>
      <c r="I103" t="s">
        <v>652</v>
      </c>
      <c r="J103" t="str">
        <f t="shared" si="7"/>
        <v>131 53</v>
      </c>
      <c r="K103">
        <f t="shared" si="6"/>
        <v>0</v>
      </c>
      <c r="L103">
        <f t="shared" si="8"/>
        <v>0</v>
      </c>
    </row>
    <row r="104" spans="1:12" x14ac:dyDescent="0.25">
      <c r="A104">
        <v>1995</v>
      </c>
      <c r="B104" t="s">
        <v>89</v>
      </c>
      <c r="C104">
        <v>50</v>
      </c>
      <c r="D104">
        <v>162</v>
      </c>
      <c r="E104">
        <v>45</v>
      </c>
      <c r="F104">
        <v>77</v>
      </c>
      <c r="G104">
        <v>1.42</v>
      </c>
      <c r="I104" t="s">
        <v>653</v>
      </c>
      <c r="J104" t="str">
        <f t="shared" si="7"/>
        <v xml:space="preserve"> 77 45</v>
      </c>
      <c r="K104">
        <f t="shared" si="6"/>
        <v>0</v>
      </c>
      <c r="L104">
        <f t="shared" si="8"/>
        <v>0</v>
      </c>
    </row>
    <row r="105" spans="1:12" x14ac:dyDescent="0.25">
      <c r="A105">
        <v>1995</v>
      </c>
      <c r="B105" t="s">
        <v>90</v>
      </c>
      <c r="C105">
        <v>600</v>
      </c>
      <c r="D105">
        <v>6485</v>
      </c>
      <c r="E105">
        <v>61</v>
      </c>
      <c r="F105">
        <v>118</v>
      </c>
      <c r="G105">
        <v>2.57</v>
      </c>
      <c r="I105" t="s">
        <v>654</v>
      </c>
      <c r="J105" t="str">
        <f t="shared" si="7"/>
        <v>118 61</v>
      </c>
      <c r="K105">
        <f t="shared" si="6"/>
        <v>0</v>
      </c>
      <c r="L105">
        <f t="shared" si="8"/>
        <v>0</v>
      </c>
    </row>
    <row r="106" spans="1:12" x14ac:dyDescent="0.25">
      <c r="A106">
        <v>1995</v>
      </c>
      <c r="B106" t="s">
        <v>38</v>
      </c>
      <c r="C106">
        <v>180</v>
      </c>
      <c r="D106">
        <v>2107</v>
      </c>
      <c r="E106">
        <v>69</v>
      </c>
      <c r="F106">
        <v>120</v>
      </c>
      <c r="G106">
        <v>2.86</v>
      </c>
      <c r="I106" t="s">
        <v>655</v>
      </c>
      <c r="J106" t="str">
        <f t="shared" si="7"/>
        <v>120 69</v>
      </c>
      <c r="K106">
        <f t="shared" si="6"/>
        <v>0</v>
      </c>
      <c r="L106">
        <f t="shared" si="8"/>
        <v>0</v>
      </c>
    </row>
    <row r="107" spans="1:12" x14ac:dyDescent="0.25">
      <c r="A107">
        <v>1995</v>
      </c>
      <c r="B107" t="s">
        <v>39</v>
      </c>
      <c r="C107">
        <v>23</v>
      </c>
      <c r="D107">
        <v>485</v>
      </c>
      <c r="E107">
        <v>74</v>
      </c>
      <c r="F107">
        <v>116</v>
      </c>
      <c r="G107">
        <v>4.22</v>
      </c>
      <c r="I107" t="s">
        <v>656</v>
      </c>
      <c r="J107" t="str">
        <f t="shared" si="7"/>
        <v>116 74</v>
      </c>
      <c r="K107">
        <f t="shared" si="6"/>
        <v>0</v>
      </c>
      <c r="L107">
        <f t="shared" si="8"/>
        <v>0</v>
      </c>
    </row>
    <row r="108" spans="1:12" x14ac:dyDescent="0.25">
      <c r="A108">
        <v>1995</v>
      </c>
      <c r="B108" t="s">
        <v>91</v>
      </c>
      <c r="C108">
        <v>40</v>
      </c>
      <c r="D108">
        <v>277</v>
      </c>
      <c r="E108">
        <v>68</v>
      </c>
      <c r="F108">
        <v>104</v>
      </c>
      <c r="G108">
        <v>2.35</v>
      </c>
      <c r="I108" t="s">
        <v>657</v>
      </c>
      <c r="J108" t="str">
        <f t="shared" si="7"/>
        <v>104 68</v>
      </c>
      <c r="K108">
        <f t="shared" si="6"/>
        <v>0</v>
      </c>
      <c r="L108">
        <f t="shared" si="8"/>
        <v>0</v>
      </c>
    </row>
    <row r="109" spans="1:12" x14ac:dyDescent="0.25">
      <c r="A109">
        <v>1995</v>
      </c>
      <c r="B109" t="s">
        <v>41</v>
      </c>
      <c r="C109">
        <v>190</v>
      </c>
      <c r="D109">
        <v>1863</v>
      </c>
      <c r="E109">
        <v>53</v>
      </c>
      <c r="F109">
        <v>106</v>
      </c>
      <c r="G109">
        <v>2.23</v>
      </c>
      <c r="I109" t="s">
        <v>658</v>
      </c>
      <c r="J109" t="str">
        <f t="shared" si="7"/>
        <v>106 53</v>
      </c>
      <c r="K109">
        <f t="shared" si="6"/>
        <v>0</v>
      </c>
      <c r="L109">
        <f t="shared" si="8"/>
        <v>0</v>
      </c>
    </row>
    <row r="110" spans="1:12" x14ac:dyDescent="0.25">
      <c r="A110">
        <v>1995</v>
      </c>
      <c r="B110" t="s">
        <v>92</v>
      </c>
      <c r="C110">
        <v>80</v>
      </c>
      <c r="D110">
        <v>330</v>
      </c>
      <c r="E110">
        <v>47</v>
      </c>
      <c r="F110">
        <v>101</v>
      </c>
      <c r="G110">
        <v>1.54</v>
      </c>
      <c r="I110" t="s">
        <v>659</v>
      </c>
      <c r="J110" t="str">
        <f t="shared" si="7"/>
        <v>101 47</v>
      </c>
      <c r="K110">
        <f t="shared" si="6"/>
        <v>0</v>
      </c>
      <c r="L110">
        <f t="shared" si="8"/>
        <v>0</v>
      </c>
    </row>
    <row r="111" spans="1:12" x14ac:dyDescent="0.25">
      <c r="A111">
        <v>1995</v>
      </c>
      <c r="B111" t="s">
        <v>93</v>
      </c>
      <c r="C111">
        <v>135</v>
      </c>
      <c r="D111">
        <v>2399</v>
      </c>
      <c r="E111">
        <v>72</v>
      </c>
      <c r="F111">
        <v>131</v>
      </c>
      <c r="G111">
        <v>3.75</v>
      </c>
      <c r="I111" t="s">
        <v>660</v>
      </c>
      <c r="J111" t="str">
        <f t="shared" si="7"/>
        <v>131 72</v>
      </c>
      <c r="K111">
        <f t="shared" si="6"/>
        <v>0</v>
      </c>
      <c r="L111">
        <f t="shared" si="8"/>
        <v>0</v>
      </c>
    </row>
    <row r="112" spans="1:12" x14ac:dyDescent="0.25">
      <c r="A112">
        <v>1995</v>
      </c>
      <c r="B112" t="s">
        <v>94</v>
      </c>
      <c r="C112">
        <v>50</v>
      </c>
      <c r="D112">
        <v>1065</v>
      </c>
      <c r="E112">
        <v>73</v>
      </c>
      <c r="F112">
        <v>113</v>
      </c>
      <c r="G112">
        <v>4</v>
      </c>
      <c r="I112" t="s">
        <v>661</v>
      </c>
      <c r="J112" t="str">
        <f t="shared" si="7"/>
        <v>113 73</v>
      </c>
      <c r="K112">
        <f t="shared" si="6"/>
        <v>0</v>
      </c>
      <c r="L112">
        <f t="shared" si="8"/>
        <v>0</v>
      </c>
    </row>
    <row r="113" spans="1:12" x14ac:dyDescent="0.25">
      <c r="A113">
        <v>1995</v>
      </c>
      <c r="B113" t="s">
        <v>45</v>
      </c>
      <c r="C113">
        <v>485</v>
      </c>
      <c r="D113">
        <v>14376</v>
      </c>
      <c r="E113">
        <v>91</v>
      </c>
      <c r="F113">
        <v>145</v>
      </c>
      <c r="G113">
        <v>5.69</v>
      </c>
      <c r="I113" t="s">
        <v>662</v>
      </c>
      <c r="J113" t="str">
        <f t="shared" si="7"/>
        <v>145 91</v>
      </c>
      <c r="K113">
        <f t="shared" si="6"/>
        <v>0</v>
      </c>
      <c r="L113">
        <f t="shared" si="8"/>
        <v>0</v>
      </c>
    </row>
    <row r="114" spans="1:12" x14ac:dyDescent="0.25">
      <c r="A114">
        <v>1995</v>
      </c>
      <c r="B114" t="s">
        <v>46</v>
      </c>
      <c r="C114">
        <v>80</v>
      </c>
      <c r="D114">
        <v>2706</v>
      </c>
      <c r="E114">
        <v>75</v>
      </c>
      <c r="F114">
        <v>122</v>
      </c>
      <c r="G114">
        <v>5.31</v>
      </c>
      <c r="I114" t="s">
        <v>663</v>
      </c>
      <c r="J114" t="str">
        <f t="shared" si="7"/>
        <v>122 75</v>
      </c>
      <c r="K114">
        <f t="shared" si="6"/>
        <v>0</v>
      </c>
      <c r="L114">
        <f t="shared" si="8"/>
        <v>0</v>
      </c>
    </row>
    <row r="115" spans="1:12" x14ac:dyDescent="0.25">
      <c r="A115">
        <v>1995</v>
      </c>
      <c r="B115" t="s">
        <v>95</v>
      </c>
      <c r="C115">
        <v>30</v>
      </c>
      <c r="D115">
        <v>388</v>
      </c>
      <c r="E115">
        <v>63</v>
      </c>
      <c r="F115">
        <v>112</v>
      </c>
      <c r="G115">
        <v>3</v>
      </c>
      <c r="I115" t="s">
        <v>664</v>
      </c>
      <c r="J115" t="str">
        <f t="shared" si="7"/>
        <v>112 63</v>
      </c>
      <c r="K115">
        <f t="shared" si="6"/>
        <v>0</v>
      </c>
      <c r="L115">
        <f t="shared" si="8"/>
        <v>0</v>
      </c>
    </row>
    <row r="116" spans="1:12" x14ac:dyDescent="0.25">
      <c r="A116">
        <v>1995</v>
      </c>
      <c r="B116" t="s">
        <v>96</v>
      </c>
      <c r="C116">
        <v>133</v>
      </c>
      <c r="D116">
        <v>4196</v>
      </c>
      <c r="E116">
        <v>74</v>
      </c>
      <c r="F116">
        <v>127</v>
      </c>
      <c r="G116">
        <v>4.95</v>
      </c>
      <c r="I116" t="s">
        <v>665</v>
      </c>
      <c r="J116" t="str">
        <f t="shared" si="7"/>
        <v>127 74</v>
      </c>
      <c r="K116">
        <f t="shared" si="6"/>
        <v>0</v>
      </c>
      <c r="L116">
        <f t="shared" si="8"/>
        <v>0</v>
      </c>
    </row>
    <row r="117" spans="1:12" x14ac:dyDescent="0.25">
      <c r="A117">
        <v>1995</v>
      </c>
      <c r="B117" t="s">
        <v>97</v>
      </c>
      <c r="C117">
        <v>80</v>
      </c>
      <c r="D117">
        <v>1702</v>
      </c>
      <c r="E117">
        <v>74</v>
      </c>
      <c r="F117">
        <v>116</v>
      </c>
      <c r="G117">
        <v>4.28</v>
      </c>
      <c r="I117" t="s">
        <v>666</v>
      </c>
      <c r="J117" t="str">
        <f t="shared" si="7"/>
        <v>116 74</v>
      </c>
      <c r="K117">
        <f t="shared" si="6"/>
        <v>0</v>
      </c>
      <c r="L117">
        <f t="shared" si="8"/>
        <v>0</v>
      </c>
    </row>
    <row r="118" spans="1:12" x14ac:dyDescent="0.25">
      <c r="A118">
        <v>1995</v>
      </c>
      <c r="B118" t="s">
        <v>98</v>
      </c>
      <c r="C118">
        <v>50</v>
      </c>
      <c r="D118">
        <v>1530</v>
      </c>
      <c r="E118">
        <v>76</v>
      </c>
      <c r="F118">
        <v>119</v>
      </c>
      <c r="G118">
        <v>5.0599999999999996</v>
      </c>
      <c r="I118" t="s">
        <v>667</v>
      </c>
      <c r="J118" t="str">
        <f t="shared" si="7"/>
        <v>119 76</v>
      </c>
      <c r="K118">
        <f t="shared" si="6"/>
        <v>0</v>
      </c>
      <c r="L118">
        <f t="shared" si="8"/>
        <v>0</v>
      </c>
    </row>
    <row r="119" spans="1:12" x14ac:dyDescent="0.25">
      <c r="A119">
        <v>1995</v>
      </c>
      <c r="B119" t="s">
        <v>99</v>
      </c>
      <c r="C119">
        <v>58</v>
      </c>
      <c r="D119">
        <v>823</v>
      </c>
      <c r="E119">
        <v>61</v>
      </c>
      <c r="F119">
        <v>107</v>
      </c>
      <c r="G119">
        <v>2.93</v>
      </c>
      <c r="I119" t="s">
        <v>668</v>
      </c>
      <c r="J119" t="str">
        <f t="shared" si="7"/>
        <v>107 61</v>
      </c>
      <c r="K119">
        <f t="shared" si="6"/>
        <v>0</v>
      </c>
      <c r="L119">
        <f t="shared" si="8"/>
        <v>0</v>
      </c>
    </row>
    <row r="120" spans="1:12" x14ac:dyDescent="0.25">
      <c r="A120">
        <v>1995</v>
      </c>
      <c r="B120" t="s">
        <v>100</v>
      </c>
      <c r="C120">
        <v>25</v>
      </c>
      <c r="D120">
        <v>280</v>
      </c>
      <c r="E120">
        <v>61</v>
      </c>
      <c r="F120">
        <v>104</v>
      </c>
      <c r="G120">
        <v>2.68</v>
      </c>
      <c r="I120" t="s">
        <v>669</v>
      </c>
      <c r="J120" t="str">
        <f t="shared" si="7"/>
        <v>104 61</v>
      </c>
      <c r="K120">
        <f t="shared" si="6"/>
        <v>0</v>
      </c>
      <c r="L120">
        <f t="shared" si="8"/>
        <v>0</v>
      </c>
    </row>
    <row r="121" spans="1:12" x14ac:dyDescent="0.25">
      <c r="A121">
        <v>1995</v>
      </c>
      <c r="B121" t="s">
        <v>53</v>
      </c>
      <c r="C121">
        <v>13</v>
      </c>
      <c r="D121">
        <v>160</v>
      </c>
      <c r="E121">
        <v>56</v>
      </c>
      <c r="F121">
        <v>76</v>
      </c>
      <c r="G121">
        <v>3.15</v>
      </c>
      <c r="I121" t="s">
        <v>670</v>
      </c>
      <c r="J121" t="str">
        <f t="shared" si="7"/>
        <v xml:space="preserve"> 76 56</v>
      </c>
      <c r="K121">
        <f t="shared" si="6"/>
        <v>0</v>
      </c>
      <c r="L121">
        <f t="shared" si="8"/>
        <v>0</v>
      </c>
    </row>
    <row r="122" spans="1:12" x14ac:dyDescent="0.25">
      <c r="A122">
        <v>1995</v>
      </c>
      <c r="B122" t="s">
        <v>101</v>
      </c>
      <c r="C122">
        <v>25</v>
      </c>
      <c r="D122">
        <v>870</v>
      </c>
      <c r="E122">
        <v>72</v>
      </c>
      <c r="F122">
        <v>124</v>
      </c>
      <c r="G122">
        <v>5.36</v>
      </c>
      <c r="I122" t="s">
        <v>671</v>
      </c>
      <c r="J122" t="str">
        <f t="shared" si="7"/>
        <v>124 72</v>
      </c>
      <c r="K122">
        <f t="shared" si="6"/>
        <v>0</v>
      </c>
      <c r="L122">
        <f t="shared" si="8"/>
        <v>0</v>
      </c>
    </row>
    <row r="123" spans="1:12" x14ac:dyDescent="0.25">
      <c r="A123">
        <v>1995</v>
      </c>
      <c r="B123" t="s">
        <v>102</v>
      </c>
      <c r="C123">
        <v>40</v>
      </c>
      <c r="D123">
        <v>1005</v>
      </c>
      <c r="E123">
        <v>68</v>
      </c>
      <c r="F123">
        <v>110</v>
      </c>
      <c r="G123">
        <v>4.2300000000000004</v>
      </c>
      <c r="I123" t="s">
        <v>672</v>
      </c>
      <c r="J123" t="str">
        <f t="shared" si="7"/>
        <v>110 68</v>
      </c>
      <c r="K123">
        <f t="shared" si="6"/>
        <v>0</v>
      </c>
      <c r="L123">
        <f t="shared" si="8"/>
        <v>0</v>
      </c>
    </row>
    <row r="124" spans="1:12" x14ac:dyDescent="0.25">
      <c r="A124">
        <v>1995</v>
      </c>
      <c r="B124" t="s">
        <v>55</v>
      </c>
      <c r="C124">
        <v>55</v>
      </c>
      <c r="D124">
        <v>654</v>
      </c>
      <c r="E124">
        <v>58</v>
      </c>
      <c r="F124">
        <v>105</v>
      </c>
      <c r="G124">
        <v>2.64</v>
      </c>
      <c r="I124" t="s">
        <v>673</v>
      </c>
      <c r="J124" t="str">
        <f t="shared" si="7"/>
        <v>105 58</v>
      </c>
      <c r="K124">
        <f t="shared" si="6"/>
        <v>0</v>
      </c>
      <c r="L124">
        <f t="shared" si="8"/>
        <v>0</v>
      </c>
    </row>
    <row r="125" spans="1:12" x14ac:dyDescent="0.25">
      <c r="A125">
        <v>1995</v>
      </c>
      <c r="B125" t="s">
        <v>56</v>
      </c>
      <c r="C125">
        <v>40</v>
      </c>
      <c r="D125">
        <v>1184</v>
      </c>
      <c r="E125">
        <v>65</v>
      </c>
      <c r="F125">
        <v>118</v>
      </c>
      <c r="G125">
        <v>4.45</v>
      </c>
      <c r="I125" t="s">
        <v>674</v>
      </c>
      <c r="J125" t="str">
        <f t="shared" si="7"/>
        <v>118 65</v>
      </c>
      <c r="K125">
        <f t="shared" si="6"/>
        <v>0</v>
      </c>
      <c r="L125">
        <f t="shared" si="8"/>
        <v>0</v>
      </c>
    </row>
    <row r="126" spans="1:12" x14ac:dyDescent="0.25">
      <c r="A126">
        <v>1995</v>
      </c>
      <c r="B126" t="s">
        <v>103</v>
      </c>
      <c r="C126">
        <v>70</v>
      </c>
      <c r="D126">
        <v>1743</v>
      </c>
      <c r="E126">
        <v>69</v>
      </c>
      <c r="F126">
        <v>118</v>
      </c>
      <c r="G126">
        <v>4.1900000000000004</v>
      </c>
      <c r="I126" t="s">
        <v>675</v>
      </c>
      <c r="J126" t="str">
        <f t="shared" si="7"/>
        <v>118 69</v>
      </c>
      <c r="K126">
        <f t="shared" si="6"/>
        <v>0</v>
      </c>
      <c r="L126">
        <f t="shared" si="8"/>
        <v>0</v>
      </c>
    </row>
    <row r="127" spans="1:12" x14ac:dyDescent="0.25">
      <c r="A127">
        <v>1995</v>
      </c>
      <c r="B127" t="s">
        <v>104</v>
      </c>
      <c r="C127">
        <v>80</v>
      </c>
      <c r="D127">
        <v>1326</v>
      </c>
      <c r="E127">
        <v>62</v>
      </c>
      <c r="F127">
        <v>112</v>
      </c>
      <c r="G127">
        <v>3.41</v>
      </c>
      <c r="I127" t="s">
        <v>676</v>
      </c>
      <c r="J127" t="str">
        <f t="shared" si="7"/>
        <v>112 62</v>
      </c>
      <c r="K127">
        <f t="shared" si="6"/>
        <v>0</v>
      </c>
      <c r="L127">
        <f t="shared" si="8"/>
        <v>0</v>
      </c>
    </row>
    <row r="128" spans="1:12" x14ac:dyDescent="0.25">
      <c r="A128">
        <v>1995</v>
      </c>
      <c r="B128" t="s">
        <v>105</v>
      </c>
      <c r="C128">
        <v>50</v>
      </c>
      <c r="D128">
        <v>1311</v>
      </c>
      <c r="E128">
        <v>57</v>
      </c>
      <c r="F128">
        <v>105</v>
      </c>
      <c r="G128">
        <v>4.0199999999999996</v>
      </c>
      <c r="I128" t="s">
        <v>677</v>
      </c>
      <c r="J128" t="str">
        <f t="shared" si="7"/>
        <v>105 57</v>
      </c>
      <c r="K128">
        <f t="shared" si="6"/>
        <v>0</v>
      </c>
      <c r="L128">
        <f t="shared" si="8"/>
        <v>0</v>
      </c>
    </row>
    <row r="129" spans="1:12" x14ac:dyDescent="0.25">
      <c r="A129">
        <v>1995</v>
      </c>
      <c r="B129" t="s">
        <v>60</v>
      </c>
      <c r="C129">
        <v>50</v>
      </c>
      <c r="D129">
        <v>747</v>
      </c>
      <c r="E129">
        <v>61</v>
      </c>
      <c r="F129">
        <v>119</v>
      </c>
      <c r="G129">
        <v>3.24</v>
      </c>
      <c r="I129" t="s">
        <v>678</v>
      </c>
      <c r="J129" t="str">
        <f t="shared" si="7"/>
        <v>119 61</v>
      </c>
      <c r="K129">
        <f t="shared" si="6"/>
        <v>0</v>
      </c>
      <c r="L129">
        <f t="shared" si="8"/>
        <v>0</v>
      </c>
    </row>
    <row r="130" spans="1:12" x14ac:dyDescent="0.25">
      <c r="A130">
        <v>1995</v>
      </c>
      <c r="B130" t="s">
        <v>106</v>
      </c>
      <c r="C130">
        <v>40</v>
      </c>
      <c r="D130">
        <v>370</v>
      </c>
      <c r="E130">
        <v>48</v>
      </c>
      <c r="F130">
        <v>87</v>
      </c>
      <c r="G130">
        <v>2.1</v>
      </c>
      <c r="I130" t="s">
        <v>679</v>
      </c>
      <c r="J130" t="str">
        <f t="shared" si="7"/>
        <v xml:space="preserve"> 87 48</v>
      </c>
      <c r="K130">
        <f t="shared" si="6"/>
        <v>0</v>
      </c>
      <c r="L130">
        <f t="shared" si="8"/>
        <v>0</v>
      </c>
    </row>
    <row r="131" spans="1:12" x14ac:dyDescent="0.25">
      <c r="A131">
        <v>1995</v>
      </c>
      <c r="B131" t="s">
        <v>62</v>
      </c>
      <c r="C131">
        <v>240</v>
      </c>
      <c r="D131">
        <v>1590</v>
      </c>
      <c r="E131">
        <v>61</v>
      </c>
      <c r="F131">
        <v>114</v>
      </c>
      <c r="G131">
        <v>1.97</v>
      </c>
      <c r="I131" t="s">
        <v>680</v>
      </c>
      <c r="J131" t="str">
        <f t="shared" si="7"/>
        <v>114 61</v>
      </c>
      <c r="K131">
        <f t="shared" si="6"/>
        <v>0</v>
      </c>
      <c r="L131">
        <f t="shared" si="8"/>
        <v>0</v>
      </c>
    </row>
    <row r="132" spans="1:12" x14ac:dyDescent="0.25">
      <c r="A132">
        <v>1995</v>
      </c>
      <c r="B132" t="s">
        <v>63</v>
      </c>
      <c r="C132">
        <v>40</v>
      </c>
      <c r="D132">
        <v>164</v>
      </c>
      <c r="E132">
        <v>54</v>
      </c>
      <c r="F132">
        <v>122</v>
      </c>
      <c r="G132">
        <v>1.53</v>
      </c>
      <c r="I132" t="s">
        <v>681</v>
      </c>
      <c r="J132" t="str">
        <f t="shared" si="7"/>
        <v>122 54</v>
      </c>
      <c r="K132">
        <f t="shared" si="6"/>
        <v>0</v>
      </c>
      <c r="L132">
        <f t="shared" si="8"/>
        <v>0</v>
      </c>
    </row>
    <row r="133" spans="1:12" x14ac:dyDescent="0.25">
      <c r="A133">
        <v>1995</v>
      </c>
      <c r="B133" t="s">
        <v>107</v>
      </c>
      <c r="C133">
        <v>600</v>
      </c>
      <c r="D133">
        <v>6992</v>
      </c>
      <c r="E133">
        <v>61</v>
      </c>
      <c r="F133">
        <v>115</v>
      </c>
      <c r="G133">
        <v>2.75</v>
      </c>
      <c r="I133" t="s">
        <v>682</v>
      </c>
      <c r="J133" t="str">
        <f t="shared" si="7"/>
        <v>115 61</v>
      </c>
      <c r="K133">
        <f t="shared" si="6"/>
        <v>0</v>
      </c>
      <c r="L133">
        <f t="shared" si="8"/>
        <v>0</v>
      </c>
    </row>
    <row r="134" spans="1:12" x14ac:dyDescent="0.25">
      <c r="A134">
        <v>1995</v>
      </c>
      <c r="B134" t="s">
        <v>65</v>
      </c>
      <c r="C134">
        <v>844</v>
      </c>
      <c r="D134">
        <v>11050</v>
      </c>
      <c r="E134">
        <v>82</v>
      </c>
      <c r="F134">
        <v>142</v>
      </c>
      <c r="G134">
        <v>3.48</v>
      </c>
      <c r="I134" t="s">
        <v>683</v>
      </c>
      <c r="J134" t="str">
        <f t="shared" si="7"/>
        <v>142 82</v>
      </c>
      <c r="K134">
        <f t="shared" si="6"/>
        <v>0</v>
      </c>
      <c r="L134">
        <f t="shared" si="8"/>
        <v>0</v>
      </c>
    </row>
    <row r="135" spans="1:12" x14ac:dyDescent="0.25">
      <c r="A135">
        <v>1995</v>
      </c>
      <c r="B135" t="s">
        <v>108</v>
      </c>
      <c r="C135">
        <v>120</v>
      </c>
      <c r="D135">
        <v>1364</v>
      </c>
      <c r="E135">
        <v>78</v>
      </c>
      <c r="F135">
        <v>130</v>
      </c>
      <c r="G135">
        <v>3.1</v>
      </c>
      <c r="I135" t="s">
        <v>684</v>
      </c>
      <c r="J135" t="str">
        <f t="shared" si="7"/>
        <v>130 78</v>
      </c>
      <c r="K135">
        <f t="shared" si="6"/>
        <v>0</v>
      </c>
      <c r="L135">
        <f t="shared" si="8"/>
        <v>0</v>
      </c>
    </row>
    <row r="136" spans="1:12" x14ac:dyDescent="0.25">
      <c r="A136">
        <v>1995</v>
      </c>
      <c r="B136" t="s">
        <v>109</v>
      </c>
      <c r="C136">
        <v>60</v>
      </c>
      <c r="D136">
        <v>338</v>
      </c>
      <c r="E136">
        <v>71</v>
      </c>
      <c r="F136">
        <v>128</v>
      </c>
      <c r="G136">
        <v>1.97</v>
      </c>
      <c r="I136" t="s">
        <v>685</v>
      </c>
      <c r="J136" t="str">
        <f t="shared" si="7"/>
        <v>128 71</v>
      </c>
      <c r="K136">
        <f t="shared" si="6"/>
        <v>0</v>
      </c>
      <c r="L136">
        <f t="shared" si="8"/>
        <v>0</v>
      </c>
    </row>
    <row r="137" spans="1:12" x14ac:dyDescent="0.25">
      <c r="A137">
        <v>1995</v>
      </c>
      <c r="B137" t="s">
        <v>110</v>
      </c>
      <c r="C137">
        <v>230</v>
      </c>
      <c r="D137">
        <v>1923</v>
      </c>
      <c r="E137">
        <v>73</v>
      </c>
      <c r="F137">
        <v>131</v>
      </c>
      <c r="G137">
        <v>2.52</v>
      </c>
      <c r="I137" t="s">
        <v>686</v>
      </c>
      <c r="J137" t="str">
        <f t="shared" si="7"/>
        <v>131 73</v>
      </c>
      <c r="K137">
        <f t="shared" si="6"/>
        <v>0</v>
      </c>
      <c r="L137">
        <f t="shared" si="8"/>
        <v>0</v>
      </c>
    </row>
    <row r="138" spans="1:12" x14ac:dyDescent="0.25">
      <c r="A138">
        <v>1995</v>
      </c>
      <c r="B138" t="s">
        <v>111</v>
      </c>
      <c r="C138">
        <v>50</v>
      </c>
      <c r="D138">
        <v>722</v>
      </c>
      <c r="E138">
        <v>67</v>
      </c>
      <c r="F138">
        <v>110</v>
      </c>
      <c r="G138">
        <v>3.16</v>
      </c>
      <c r="I138" t="s">
        <v>687</v>
      </c>
      <c r="J138" t="str">
        <f t="shared" si="7"/>
        <v>110 67</v>
      </c>
      <c r="K138">
        <f t="shared" si="6"/>
        <v>0</v>
      </c>
      <c r="L138">
        <f t="shared" si="8"/>
        <v>0</v>
      </c>
    </row>
    <row r="139" spans="1:12" x14ac:dyDescent="0.25">
      <c r="A139">
        <v>1995</v>
      </c>
      <c r="B139" t="s">
        <v>70</v>
      </c>
      <c r="C139">
        <v>40</v>
      </c>
      <c r="D139">
        <v>90</v>
      </c>
      <c r="E139">
        <v>41</v>
      </c>
      <c r="F139">
        <v>89</v>
      </c>
      <c r="G139">
        <v>1.53</v>
      </c>
      <c r="I139" t="s">
        <v>688</v>
      </c>
      <c r="J139" t="str">
        <f t="shared" si="7"/>
        <v xml:space="preserve"> 89 41</v>
      </c>
      <c r="K139">
        <f t="shared" ref="K139:K149" si="9">VALUE(RIGHT(J139,2))-E139</f>
        <v>0</v>
      </c>
      <c r="L139">
        <f t="shared" si="8"/>
        <v>0</v>
      </c>
    </row>
    <row r="140" spans="1:12" x14ac:dyDescent="0.25">
      <c r="A140">
        <v>1995</v>
      </c>
      <c r="B140" t="s">
        <v>71</v>
      </c>
      <c r="C140">
        <v>130</v>
      </c>
      <c r="D140">
        <v>288</v>
      </c>
      <c r="E140">
        <v>40</v>
      </c>
      <c r="F140">
        <v>124</v>
      </c>
      <c r="G140">
        <v>1.5</v>
      </c>
      <c r="I140" t="s">
        <v>689</v>
      </c>
      <c r="J140" t="str">
        <f t="shared" ref="J140:J149" si="10">RIGHT(I140,6)</f>
        <v>124 40</v>
      </c>
      <c r="K140">
        <f t="shared" si="9"/>
        <v>0</v>
      </c>
      <c r="L140">
        <f t="shared" ref="L140:L149" si="11">VALUE(LEFT(J140,3))-F140</f>
        <v>0</v>
      </c>
    </row>
    <row r="141" spans="1:12" x14ac:dyDescent="0.25">
      <c r="A141">
        <v>1995</v>
      </c>
      <c r="B141" t="s">
        <v>72</v>
      </c>
      <c r="C141">
        <v>100</v>
      </c>
      <c r="D141">
        <v>2003</v>
      </c>
      <c r="E141">
        <v>73</v>
      </c>
      <c r="F141">
        <v>128</v>
      </c>
      <c r="G141">
        <v>3.92</v>
      </c>
      <c r="I141" t="s">
        <v>690</v>
      </c>
      <c r="J141" t="str">
        <f t="shared" si="10"/>
        <v>128 73</v>
      </c>
      <c r="K141">
        <f t="shared" si="9"/>
        <v>0</v>
      </c>
      <c r="L141">
        <f t="shared" si="11"/>
        <v>0</v>
      </c>
    </row>
    <row r="142" spans="1:12" x14ac:dyDescent="0.25">
      <c r="A142">
        <v>1995</v>
      </c>
      <c r="B142" t="s">
        <v>73</v>
      </c>
      <c r="C142">
        <v>250</v>
      </c>
      <c r="D142">
        <v>1107</v>
      </c>
      <c r="E142">
        <v>55</v>
      </c>
      <c r="F142">
        <v>117</v>
      </c>
      <c r="G142">
        <v>1.52</v>
      </c>
      <c r="I142" t="s">
        <v>691</v>
      </c>
      <c r="J142" t="str">
        <f t="shared" si="10"/>
        <v>117 55</v>
      </c>
      <c r="K142">
        <f t="shared" si="9"/>
        <v>0</v>
      </c>
      <c r="L142">
        <f t="shared" si="11"/>
        <v>0</v>
      </c>
    </row>
    <row r="143" spans="1:12" x14ac:dyDescent="0.25">
      <c r="A143">
        <v>1995</v>
      </c>
      <c r="B143" t="s">
        <v>112</v>
      </c>
      <c r="C143">
        <v>180</v>
      </c>
      <c r="D143">
        <v>807</v>
      </c>
      <c r="E143">
        <v>67</v>
      </c>
      <c r="F143">
        <v>124</v>
      </c>
      <c r="G143">
        <v>1.72</v>
      </c>
      <c r="I143" t="s">
        <v>692</v>
      </c>
      <c r="J143" t="str">
        <f t="shared" si="10"/>
        <v>124 67</v>
      </c>
      <c r="K143">
        <f t="shared" si="9"/>
        <v>0</v>
      </c>
      <c r="L143">
        <f t="shared" si="11"/>
        <v>0</v>
      </c>
    </row>
    <row r="144" spans="1:12" x14ac:dyDescent="0.25">
      <c r="A144">
        <v>1995</v>
      </c>
      <c r="B144" t="s">
        <v>113</v>
      </c>
      <c r="C144">
        <v>90</v>
      </c>
      <c r="D144">
        <v>152</v>
      </c>
      <c r="E144">
        <v>44</v>
      </c>
      <c r="F144">
        <v>128</v>
      </c>
      <c r="G144">
        <v>1.41</v>
      </c>
      <c r="I144" t="s">
        <v>693</v>
      </c>
      <c r="J144" t="str">
        <f t="shared" si="10"/>
        <v>128 44</v>
      </c>
      <c r="K144">
        <f t="shared" si="9"/>
        <v>0</v>
      </c>
      <c r="L144">
        <f t="shared" si="11"/>
        <v>0</v>
      </c>
    </row>
    <row r="145" spans="1:12" x14ac:dyDescent="0.25">
      <c r="A145">
        <v>1995</v>
      </c>
      <c r="B145" t="s">
        <v>114</v>
      </c>
      <c r="C145">
        <v>60</v>
      </c>
      <c r="D145">
        <v>455</v>
      </c>
      <c r="E145">
        <v>69</v>
      </c>
      <c r="F145">
        <v>131</v>
      </c>
      <c r="G145">
        <v>2.35</v>
      </c>
      <c r="I145" t="s">
        <v>694</v>
      </c>
      <c r="J145" t="str">
        <f t="shared" si="10"/>
        <v>131 69</v>
      </c>
      <c r="K145">
        <f t="shared" si="9"/>
        <v>0</v>
      </c>
      <c r="L145">
        <f t="shared" si="11"/>
        <v>0</v>
      </c>
    </row>
    <row r="146" spans="1:12" x14ac:dyDescent="0.25">
      <c r="A146">
        <v>1995</v>
      </c>
      <c r="B146" t="s">
        <v>115</v>
      </c>
      <c r="C146">
        <v>50</v>
      </c>
      <c r="D146">
        <v>196</v>
      </c>
      <c r="E146">
        <v>58</v>
      </c>
      <c r="F146">
        <v>124</v>
      </c>
      <c r="G146">
        <v>1.46</v>
      </c>
      <c r="I146" t="s">
        <v>695</v>
      </c>
      <c r="J146" t="str">
        <f t="shared" si="10"/>
        <v>124 58</v>
      </c>
      <c r="K146">
        <f t="shared" si="9"/>
        <v>0</v>
      </c>
      <c r="L146">
        <f t="shared" si="11"/>
        <v>0</v>
      </c>
    </row>
    <row r="147" spans="1:12" x14ac:dyDescent="0.25">
      <c r="A147">
        <v>1995</v>
      </c>
      <c r="B147" t="s">
        <v>116</v>
      </c>
      <c r="C147">
        <v>90</v>
      </c>
      <c r="D147">
        <v>247</v>
      </c>
      <c r="E147">
        <v>51</v>
      </c>
      <c r="F147">
        <v>104</v>
      </c>
      <c r="G147">
        <v>1.5</v>
      </c>
      <c r="I147" t="s">
        <v>696</v>
      </c>
      <c r="J147" t="str">
        <f t="shared" si="10"/>
        <v>104 51</v>
      </c>
      <c r="K147">
        <f t="shared" si="9"/>
        <v>0</v>
      </c>
      <c r="L147">
        <f t="shared" si="11"/>
        <v>0</v>
      </c>
    </row>
    <row r="148" spans="1:12" x14ac:dyDescent="0.25">
      <c r="A148">
        <v>1995</v>
      </c>
      <c r="B148" t="s">
        <v>78</v>
      </c>
      <c r="C148">
        <v>70</v>
      </c>
      <c r="D148">
        <v>262</v>
      </c>
      <c r="E148">
        <v>59</v>
      </c>
      <c r="F148">
        <v>115</v>
      </c>
      <c r="G148">
        <v>1.41</v>
      </c>
      <c r="I148" t="s">
        <v>697</v>
      </c>
      <c r="J148" t="str">
        <f t="shared" si="10"/>
        <v>115 59</v>
      </c>
      <c r="K148">
        <f t="shared" si="9"/>
        <v>0</v>
      </c>
      <c r="L148">
        <f t="shared" si="11"/>
        <v>0</v>
      </c>
    </row>
    <row r="149" spans="1:12" x14ac:dyDescent="0.25">
      <c r="A149">
        <v>1995</v>
      </c>
      <c r="B149" t="s">
        <v>117</v>
      </c>
      <c r="C149">
        <v>600</v>
      </c>
      <c r="D149">
        <v>3568</v>
      </c>
      <c r="E149">
        <v>63</v>
      </c>
      <c r="F149">
        <v>133</v>
      </c>
      <c r="G149">
        <v>1.99</v>
      </c>
      <c r="I149" t="s">
        <v>698</v>
      </c>
      <c r="J149" t="str">
        <f t="shared" si="10"/>
        <v>133 63</v>
      </c>
      <c r="K149">
        <f t="shared" si="9"/>
        <v>0</v>
      </c>
      <c r="L149">
        <f t="shared" si="11"/>
        <v>0</v>
      </c>
    </row>
    <row r="150" spans="1:12" x14ac:dyDescent="0.25">
      <c r="A150">
        <v>1996</v>
      </c>
      <c r="B150" t="s">
        <v>80</v>
      </c>
      <c r="C150">
        <v>30</v>
      </c>
      <c r="D150">
        <v>219</v>
      </c>
      <c r="E150">
        <v>60</v>
      </c>
      <c r="F150">
        <v>117</v>
      </c>
      <c r="G150">
        <v>2.1</v>
      </c>
    </row>
    <row r="151" spans="1:12" x14ac:dyDescent="0.25">
      <c r="A151">
        <v>1996</v>
      </c>
      <c r="B151" t="s">
        <v>118</v>
      </c>
      <c r="C151">
        <v>15</v>
      </c>
      <c r="D151">
        <v>362</v>
      </c>
      <c r="E151">
        <v>68</v>
      </c>
      <c r="F151">
        <v>98</v>
      </c>
      <c r="G151">
        <v>3.33</v>
      </c>
    </row>
    <row r="152" spans="1:12" x14ac:dyDescent="0.25">
      <c r="A152">
        <v>1996</v>
      </c>
      <c r="B152" t="s">
        <v>119</v>
      </c>
      <c r="C152">
        <v>10</v>
      </c>
      <c r="D152">
        <v>119</v>
      </c>
      <c r="E152">
        <v>61</v>
      </c>
      <c r="F152">
        <v>98</v>
      </c>
      <c r="G152">
        <v>2.7</v>
      </c>
    </row>
    <row r="153" spans="1:12" x14ac:dyDescent="0.25">
      <c r="A153">
        <v>1996</v>
      </c>
      <c r="B153" t="s">
        <v>10</v>
      </c>
      <c r="C153">
        <v>20</v>
      </c>
      <c r="D153">
        <v>352</v>
      </c>
      <c r="E153">
        <v>67</v>
      </c>
      <c r="F153">
        <v>105</v>
      </c>
      <c r="G153">
        <v>3.3</v>
      </c>
    </row>
    <row r="154" spans="1:12" x14ac:dyDescent="0.25">
      <c r="A154">
        <v>1996</v>
      </c>
      <c r="B154" t="s">
        <v>81</v>
      </c>
      <c r="C154">
        <v>30</v>
      </c>
      <c r="D154">
        <v>142</v>
      </c>
      <c r="E154">
        <v>54</v>
      </c>
      <c r="F154">
        <v>93</v>
      </c>
      <c r="G154">
        <v>1.63</v>
      </c>
    </row>
    <row r="155" spans="1:12" x14ac:dyDescent="0.25">
      <c r="A155">
        <v>1996</v>
      </c>
      <c r="B155" t="s">
        <v>82</v>
      </c>
      <c r="C155">
        <v>40</v>
      </c>
      <c r="D155">
        <v>77</v>
      </c>
      <c r="E155">
        <v>28</v>
      </c>
      <c r="F155">
        <v>77</v>
      </c>
      <c r="G155">
        <v>1.83</v>
      </c>
    </row>
    <row r="156" spans="1:12" x14ac:dyDescent="0.25">
      <c r="A156">
        <v>1996</v>
      </c>
      <c r="B156" t="s">
        <v>13</v>
      </c>
      <c r="C156">
        <v>15</v>
      </c>
      <c r="D156">
        <v>337</v>
      </c>
      <c r="E156">
        <v>82</v>
      </c>
      <c r="F156">
        <v>112</v>
      </c>
      <c r="G156">
        <v>3.2</v>
      </c>
    </row>
    <row r="157" spans="1:12" x14ac:dyDescent="0.25">
      <c r="A157">
        <v>1996</v>
      </c>
      <c r="B157" t="s">
        <v>120</v>
      </c>
      <c r="C157">
        <v>40</v>
      </c>
      <c r="D157">
        <v>239</v>
      </c>
      <c r="E157">
        <v>56</v>
      </c>
      <c r="F157">
        <v>114</v>
      </c>
      <c r="G157">
        <v>1.93</v>
      </c>
    </row>
    <row r="158" spans="1:12" x14ac:dyDescent="0.25">
      <c r="A158">
        <v>1996</v>
      </c>
      <c r="B158" t="s">
        <v>121</v>
      </c>
      <c r="C158">
        <v>15</v>
      </c>
      <c r="D158">
        <v>388</v>
      </c>
      <c r="E158">
        <v>79</v>
      </c>
      <c r="F158">
        <v>112</v>
      </c>
      <c r="G158">
        <v>3.13</v>
      </c>
    </row>
    <row r="159" spans="1:12" x14ac:dyDescent="0.25">
      <c r="A159">
        <v>1996</v>
      </c>
      <c r="B159" t="s">
        <v>15</v>
      </c>
      <c r="C159">
        <v>45</v>
      </c>
      <c r="D159">
        <v>1972</v>
      </c>
      <c r="E159">
        <v>87</v>
      </c>
      <c r="F159">
        <v>124</v>
      </c>
      <c r="G159">
        <v>3.16</v>
      </c>
    </row>
    <row r="160" spans="1:12" x14ac:dyDescent="0.25">
      <c r="A160">
        <v>1996</v>
      </c>
      <c r="B160" t="s">
        <v>16</v>
      </c>
      <c r="C160">
        <v>40</v>
      </c>
      <c r="D160">
        <v>2519</v>
      </c>
      <c r="E160">
        <v>88</v>
      </c>
      <c r="F160">
        <v>130</v>
      </c>
      <c r="G160">
        <v>3.03</v>
      </c>
    </row>
    <row r="161" spans="1:7" x14ac:dyDescent="0.25">
      <c r="A161">
        <v>1996</v>
      </c>
      <c r="B161" t="s">
        <v>122</v>
      </c>
      <c r="C161">
        <v>20</v>
      </c>
      <c r="D161">
        <v>361</v>
      </c>
      <c r="E161">
        <v>69</v>
      </c>
      <c r="F161">
        <v>102</v>
      </c>
      <c r="G161">
        <v>3</v>
      </c>
    </row>
    <row r="162" spans="1:7" x14ac:dyDescent="0.25">
      <c r="A162">
        <v>1996</v>
      </c>
      <c r="B162" t="s">
        <v>18</v>
      </c>
      <c r="C162">
        <v>20</v>
      </c>
      <c r="D162">
        <v>431</v>
      </c>
      <c r="E162">
        <v>68</v>
      </c>
      <c r="F162">
        <v>95</v>
      </c>
      <c r="G162">
        <v>3.05</v>
      </c>
    </row>
    <row r="163" spans="1:7" x14ac:dyDescent="0.25">
      <c r="A163">
        <v>1996</v>
      </c>
      <c r="B163" t="s">
        <v>19</v>
      </c>
      <c r="C163">
        <v>20</v>
      </c>
      <c r="D163">
        <v>836</v>
      </c>
      <c r="E163">
        <v>72</v>
      </c>
      <c r="F163">
        <v>104</v>
      </c>
      <c r="G163">
        <v>3.15</v>
      </c>
    </row>
    <row r="164" spans="1:7" x14ac:dyDescent="0.25">
      <c r="A164">
        <v>1996</v>
      </c>
      <c r="B164" t="s">
        <v>20</v>
      </c>
      <c r="C164">
        <v>200</v>
      </c>
      <c r="D164">
        <v>1178</v>
      </c>
      <c r="E164">
        <v>60</v>
      </c>
      <c r="F164">
        <v>125</v>
      </c>
      <c r="G164">
        <v>1.88</v>
      </c>
    </row>
    <row r="165" spans="1:7" x14ac:dyDescent="0.25">
      <c r="A165">
        <v>1996</v>
      </c>
      <c r="B165" t="s">
        <v>83</v>
      </c>
      <c r="C165">
        <v>40</v>
      </c>
      <c r="D165">
        <v>204</v>
      </c>
      <c r="E165">
        <v>53</v>
      </c>
      <c r="F165">
        <v>85</v>
      </c>
      <c r="G165">
        <v>1.85</v>
      </c>
    </row>
    <row r="166" spans="1:7" x14ac:dyDescent="0.25">
      <c r="A166">
        <v>1996</v>
      </c>
      <c r="B166" t="s">
        <v>22</v>
      </c>
      <c r="C166">
        <v>160</v>
      </c>
      <c r="D166">
        <v>590</v>
      </c>
      <c r="E166">
        <v>57</v>
      </c>
      <c r="F166">
        <v>120</v>
      </c>
      <c r="G166">
        <v>1.47</v>
      </c>
    </row>
    <row r="167" spans="1:7" x14ac:dyDescent="0.25">
      <c r="A167">
        <v>1996</v>
      </c>
      <c r="B167" t="s">
        <v>23</v>
      </c>
      <c r="C167">
        <v>160</v>
      </c>
      <c r="D167">
        <v>635</v>
      </c>
      <c r="E167">
        <v>55</v>
      </c>
      <c r="F167">
        <v>106</v>
      </c>
      <c r="G167">
        <v>1.47</v>
      </c>
    </row>
    <row r="168" spans="1:7" x14ac:dyDescent="0.25">
      <c r="A168">
        <v>1996</v>
      </c>
      <c r="B168" t="s">
        <v>24</v>
      </c>
      <c r="C168">
        <v>260</v>
      </c>
      <c r="D168">
        <v>1322</v>
      </c>
      <c r="E168">
        <v>59</v>
      </c>
      <c r="F168">
        <v>114</v>
      </c>
      <c r="G168">
        <v>1.69</v>
      </c>
    </row>
    <row r="169" spans="1:7" x14ac:dyDescent="0.25">
      <c r="A169">
        <v>1996</v>
      </c>
      <c r="B169" t="s">
        <v>25</v>
      </c>
      <c r="C169">
        <v>835</v>
      </c>
      <c r="D169">
        <v>3443</v>
      </c>
      <c r="E169">
        <v>54</v>
      </c>
      <c r="F169">
        <v>127</v>
      </c>
      <c r="G169">
        <v>1.49</v>
      </c>
    </row>
    <row r="170" spans="1:7" x14ac:dyDescent="0.25">
      <c r="A170">
        <v>1996</v>
      </c>
      <c r="B170" t="s">
        <v>123</v>
      </c>
      <c r="C170">
        <v>40</v>
      </c>
      <c r="D170">
        <v>222</v>
      </c>
      <c r="E170">
        <v>50</v>
      </c>
      <c r="F170">
        <v>99</v>
      </c>
      <c r="G170">
        <v>1.7</v>
      </c>
    </row>
    <row r="171" spans="1:7" x14ac:dyDescent="0.25">
      <c r="A171">
        <v>1996</v>
      </c>
      <c r="B171" t="s">
        <v>124</v>
      </c>
      <c r="C171">
        <v>200</v>
      </c>
      <c r="D171">
        <v>6031</v>
      </c>
      <c r="E171">
        <v>82</v>
      </c>
      <c r="F171">
        <v>128</v>
      </c>
      <c r="G171">
        <v>3.01</v>
      </c>
    </row>
    <row r="172" spans="1:7" x14ac:dyDescent="0.25">
      <c r="A172">
        <v>1996</v>
      </c>
      <c r="B172" t="s">
        <v>84</v>
      </c>
      <c r="C172">
        <v>40</v>
      </c>
      <c r="D172">
        <v>737</v>
      </c>
      <c r="E172">
        <v>68</v>
      </c>
      <c r="F172">
        <v>102</v>
      </c>
      <c r="G172">
        <v>3.28</v>
      </c>
    </row>
    <row r="173" spans="1:7" x14ac:dyDescent="0.25">
      <c r="A173">
        <v>1996</v>
      </c>
      <c r="B173" t="s">
        <v>28</v>
      </c>
      <c r="C173">
        <v>140</v>
      </c>
      <c r="D173">
        <v>1502</v>
      </c>
      <c r="E173">
        <v>60</v>
      </c>
      <c r="F173">
        <v>113</v>
      </c>
      <c r="G173">
        <v>2.4900000000000002</v>
      </c>
    </row>
    <row r="174" spans="1:7" x14ac:dyDescent="0.25">
      <c r="A174">
        <v>1996</v>
      </c>
      <c r="B174" t="s">
        <v>125</v>
      </c>
      <c r="C174">
        <v>40</v>
      </c>
      <c r="D174">
        <v>217</v>
      </c>
      <c r="E174">
        <v>55</v>
      </c>
      <c r="F174">
        <v>96</v>
      </c>
      <c r="G174">
        <v>1.78</v>
      </c>
    </row>
    <row r="175" spans="1:7" x14ac:dyDescent="0.25">
      <c r="A175">
        <v>1996</v>
      </c>
      <c r="B175" t="s">
        <v>30</v>
      </c>
      <c r="C175">
        <v>180</v>
      </c>
      <c r="D175">
        <v>1773</v>
      </c>
      <c r="E175">
        <v>70</v>
      </c>
      <c r="F175">
        <v>135</v>
      </c>
      <c r="G175">
        <v>2.72</v>
      </c>
    </row>
    <row r="176" spans="1:7" x14ac:dyDescent="0.25">
      <c r="A176">
        <v>1996</v>
      </c>
      <c r="B176" t="s">
        <v>86</v>
      </c>
      <c r="C176">
        <v>40</v>
      </c>
      <c r="D176">
        <v>239</v>
      </c>
      <c r="E176">
        <v>62</v>
      </c>
      <c r="F176">
        <v>111</v>
      </c>
      <c r="G176">
        <v>1.9</v>
      </c>
    </row>
    <row r="177" spans="1:7" x14ac:dyDescent="0.25">
      <c r="A177">
        <v>1996</v>
      </c>
      <c r="B177" t="s">
        <v>87</v>
      </c>
      <c r="C177">
        <v>150</v>
      </c>
      <c r="D177">
        <v>2998</v>
      </c>
      <c r="E177">
        <v>77</v>
      </c>
      <c r="F177">
        <v>126</v>
      </c>
      <c r="G177">
        <v>3.07</v>
      </c>
    </row>
    <row r="178" spans="1:7" x14ac:dyDescent="0.25">
      <c r="A178">
        <v>1996</v>
      </c>
      <c r="B178" t="s">
        <v>88</v>
      </c>
      <c r="C178">
        <v>30</v>
      </c>
      <c r="D178">
        <v>543</v>
      </c>
      <c r="E178">
        <v>73</v>
      </c>
      <c r="F178">
        <v>124</v>
      </c>
      <c r="G178">
        <v>3.07</v>
      </c>
    </row>
    <row r="179" spans="1:7" x14ac:dyDescent="0.25">
      <c r="A179">
        <v>1996</v>
      </c>
      <c r="B179" t="s">
        <v>34</v>
      </c>
      <c r="C179">
        <v>450</v>
      </c>
      <c r="D179">
        <v>13799</v>
      </c>
      <c r="E179">
        <v>84</v>
      </c>
      <c r="F179">
        <v>138</v>
      </c>
      <c r="G179">
        <v>3.06</v>
      </c>
    </row>
    <row r="180" spans="1:7" x14ac:dyDescent="0.25">
      <c r="A180">
        <v>1996</v>
      </c>
      <c r="B180" t="s">
        <v>35</v>
      </c>
      <c r="C180">
        <v>120</v>
      </c>
      <c r="D180">
        <v>1027</v>
      </c>
      <c r="E180">
        <v>51</v>
      </c>
      <c r="F180">
        <v>112</v>
      </c>
      <c r="G180">
        <v>2.16</v>
      </c>
    </row>
    <row r="181" spans="1:7" x14ac:dyDescent="0.25">
      <c r="A181">
        <v>1996</v>
      </c>
      <c r="B181" t="s">
        <v>89</v>
      </c>
      <c r="C181">
        <v>50</v>
      </c>
      <c r="D181">
        <v>187</v>
      </c>
      <c r="E181">
        <v>43</v>
      </c>
      <c r="F181">
        <v>71</v>
      </c>
      <c r="G181">
        <v>1.64</v>
      </c>
    </row>
    <row r="182" spans="1:7" x14ac:dyDescent="0.25">
      <c r="A182">
        <v>1996</v>
      </c>
      <c r="B182" t="s">
        <v>90</v>
      </c>
      <c r="C182">
        <v>600</v>
      </c>
      <c r="D182">
        <v>6360</v>
      </c>
      <c r="E182">
        <v>57</v>
      </c>
      <c r="F182">
        <v>107</v>
      </c>
      <c r="G182">
        <v>2.5499999999999998</v>
      </c>
    </row>
    <row r="183" spans="1:7" x14ac:dyDescent="0.25">
      <c r="A183">
        <v>1996</v>
      </c>
      <c r="B183" t="s">
        <v>38</v>
      </c>
      <c r="C183">
        <v>180</v>
      </c>
      <c r="D183">
        <v>1768</v>
      </c>
      <c r="E183">
        <v>67</v>
      </c>
      <c r="F183">
        <v>123</v>
      </c>
      <c r="G183">
        <v>2.58</v>
      </c>
    </row>
    <row r="184" spans="1:7" x14ac:dyDescent="0.25">
      <c r="A184">
        <v>1996</v>
      </c>
      <c r="B184" t="s">
        <v>126</v>
      </c>
      <c r="C184">
        <v>23</v>
      </c>
      <c r="D184">
        <v>406</v>
      </c>
      <c r="E184">
        <v>78</v>
      </c>
      <c r="F184">
        <v>119</v>
      </c>
      <c r="G184">
        <v>3.04</v>
      </c>
    </row>
    <row r="185" spans="1:7" x14ac:dyDescent="0.25">
      <c r="A185">
        <v>1996</v>
      </c>
      <c r="B185" t="s">
        <v>127</v>
      </c>
      <c r="C185">
        <v>40</v>
      </c>
      <c r="D185">
        <v>356</v>
      </c>
      <c r="E185">
        <v>63</v>
      </c>
      <c r="F185">
        <v>100</v>
      </c>
      <c r="G185">
        <v>2.6</v>
      </c>
    </row>
    <row r="186" spans="1:7" x14ac:dyDescent="0.25">
      <c r="A186">
        <v>1996</v>
      </c>
      <c r="B186" t="s">
        <v>41</v>
      </c>
      <c r="C186">
        <v>190</v>
      </c>
      <c r="D186">
        <v>1514</v>
      </c>
      <c r="E186">
        <v>50</v>
      </c>
      <c r="F186">
        <v>101</v>
      </c>
      <c r="G186">
        <v>2.1</v>
      </c>
    </row>
    <row r="187" spans="1:7" x14ac:dyDescent="0.25">
      <c r="A187">
        <v>1996</v>
      </c>
      <c r="B187" t="s">
        <v>92</v>
      </c>
      <c r="C187">
        <v>80</v>
      </c>
      <c r="D187">
        <v>601</v>
      </c>
      <c r="E187">
        <v>52</v>
      </c>
      <c r="F187">
        <v>96</v>
      </c>
      <c r="G187">
        <v>2.1</v>
      </c>
    </row>
    <row r="188" spans="1:7" x14ac:dyDescent="0.25">
      <c r="A188">
        <v>1996</v>
      </c>
      <c r="B188" t="s">
        <v>128</v>
      </c>
      <c r="C188">
        <v>135</v>
      </c>
      <c r="D188">
        <v>1805</v>
      </c>
      <c r="E188">
        <v>68</v>
      </c>
      <c r="F188">
        <v>117</v>
      </c>
      <c r="G188">
        <v>3.08</v>
      </c>
    </row>
    <row r="189" spans="1:7" x14ac:dyDescent="0.25">
      <c r="A189">
        <v>1996</v>
      </c>
      <c r="B189" t="s">
        <v>129</v>
      </c>
      <c r="C189">
        <v>50</v>
      </c>
      <c r="D189">
        <v>755</v>
      </c>
      <c r="E189">
        <v>69</v>
      </c>
      <c r="F189">
        <v>111</v>
      </c>
      <c r="G189">
        <v>3.12</v>
      </c>
    </row>
    <row r="190" spans="1:7" x14ac:dyDescent="0.25">
      <c r="A190">
        <v>1996</v>
      </c>
      <c r="B190" t="s">
        <v>45</v>
      </c>
      <c r="C190">
        <v>485</v>
      </c>
      <c r="D190">
        <v>14486</v>
      </c>
      <c r="E190">
        <v>96</v>
      </c>
      <c r="F190">
        <v>142</v>
      </c>
      <c r="G190">
        <v>3.16</v>
      </c>
    </row>
    <row r="191" spans="1:7" x14ac:dyDescent="0.25">
      <c r="A191">
        <v>1996</v>
      </c>
      <c r="B191" t="s">
        <v>46</v>
      </c>
      <c r="C191">
        <v>80</v>
      </c>
      <c r="D191">
        <v>2388</v>
      </c>
      <c r="E191">
        <v>78</v>
      </c>
      <c r="F191">
        <v>112</v>
      </c>
      <c r="G191">
        <v>3.05</v>
      </c>
    </row>
    <row r="192" spans="1:7" x14ac:dyDescent="0.25">
      <c r="A192">
        <v>1996</v>
      </c>
      <c r="B192" t="s">
        <v>130</v>
      </c>
      <c r="C192">
        <v>30</v>
      </c>
      <c r="D192">
        <v>319</v>
      </c>
      <c r="E192">
        <v>59</v>
      </c>
      <c r="F192">
        <v>102</v>
      </c>
      <c r="G192">
        <v>2.57</v>
      </c>
    </row>
    <row r="193" spans="1:7" x14ac:dyDescent="0.25">
      <c r="A193">
        <v>1996</v>
      </c>
      <c r="B193" t="s">
        <v>48</v>
      </c>
      <c r="C193">
        <v>133</v>
      </c>
      <c r="D193">
        <v>3626</v>
      </c>
      <c r="E193">
        <v>77</v>
      </c>
      <c r="F193">
        <v>124</v>
      </c>
      <c r="G193">
        <v>3.18</v>
      </c>
    </row>
    <row r="194" spans="1:7" x14ac:dyDescent="0.25">
      <c r="A194">
        <v>1996</v>
      </c>
      <c r="B194" t="s">
        <v>97</v>
      </c>
      <c r="C194">
        <v>80</v>
      </c>
      <c r="D194">
        <v>2251</v>
      </c>
      <c r="E194">
        <v>77</v>
      </c>
      <c r="F194">
        <v>107</v>
      </c>
      <c r="G194">
        <v>3.18</v>
      </c>
    </row>
    <row r="195" spans="1:7" x14ac:dyDescent="0.25">
      <c r="A195">
        <v>1996</v>
      </c>
      <c r="B195" t="s">
        <v>98</v>
      </c>
      <c r="C195">
        <v>50</v>
      </c>
      <c r="D195">
        <v>630</v>
      </c>
      <c r="E195">
        <v>73</v>
      </c>
      <c r="F195">
        <v>113</v>
      </c>
      <c r="G195">
        <v>3.02</v>
      </c>
    </row>
    <row r="196" spans="1:7" x14ac:dyDescent="0.25">
      <c r="A196">
        <v>1996</v>
      </c>
      <c r="B196" t="s">
        <v>51</v>
      </c>
      <c r="C196">
        <v>58</v>
      </c>
      <c r="D196">
        <v>758</v>
      </c>
      <c r="E196">
        <v>60</v>
      </c>
      <c r="F196">
        <v>94</v>
      </c>
      <c r="G196">
        <v>2.74</v>
      </c>
    </row>
    <row r="197" spans="1:7" x14ac:dyDescent="0.25">
      <c r="A197">
        <v>1996</v>
      </c>
      <c r="B197" t="s">
        <v>100</v>
      </c>
      <c r="C197">
        <v>25</v>
      </c>
      <c r="D197">
        <v>253</v>
      </c>
      <c r="E197">
        <v>55</v>
      </c>
      <c r="F197">
        <v>99</v>
      </c>
      <c r="G197">
        <v>2.72</v>
      </c>
    </row>
    <row r="198" spans="1:7" x14ac:dyDescent="0.25">
      <c r="A198">
        <v>1996</v>
      </c>
      <c r="B198" t="s">
        <v>53</v>
      </c>
      <c r="C198">
        <v>13</v>
      </c>
      <c r="D198">
        <v>166</v>
      </c>
      <c r="E198">
        <v>59</v>
      </c>
      <c r="F198">
        <v>89</v>
      </c>
      <c r="G198">
        <v>3</v>
      </c>
    </row>
    <row r="199" spans="1:7" x14ac:dyDescent="0.25">
      <c r="A199">
        <v>1996</v>
      </c>
      <c r="B199" t="s">
        <v>101</v>
      </c>
      <c r="C199">
        <v>25</v>
      </c>
      <c r="D199">
        <v>864</v>
      </c>
      <c r="E199">
        <v>76</v>
      </c>
      <c r="F199">
        <v>121</v>
      </c>
      <c r="G199">
        <v>3</v>
      </c>
    </row>
    <row r="200" spans="1:7" x14ac:dyDescent="0.25">
      <c r="A200">
        <v>1996</v>
      </c>
      <c r="B200" t="s">
        <v>131</v>
      </c>
      <c r="C200">
        <v>40</v>
      </c>
      <c r="D200">
        <v>1073</v>
      </c>
      <c r="E200">
        <v>69</v>
      </c>
      <c r="F200">
        <v>111</v>
      </c>
      <c r="G200">
        <v>3</v>
      </c>
    </row>
    <row r="201" spans="1:7" x14ac:dyDescent="0.25">
      <c r="A201">
        <v>1996</v>
      </c>
      <c r="B201" t="s">
        <v>55</v>
      </c>
      <c r="C201">
        <v>55</v>
      </c>
      <c r="D201">
        <v>598</v>
      </c>
      <c r="E201">
        <v>58</v>
      </c>
      <c r="F201">
        <v>102</v>
      </c>
      <c r="G201">
        <v>2.58</v>
      </c>
    </row>
    <row r="202" spans="1:7" x14ac:dyDescent="0.25">
      <c r="A202">
        <v>1996</v>
      </c>
      <c r="B202" t="s">
        <v>56</v>
      </c>
      <c r="C202">
        <v>40</v>
      </c>
      <c r="D202">
        <v>1059</v>
      </c>
      <c r="E202">
        <v>64</v>
      </c>
      <c r="F202">
        <v>99</v>
      </c>
      <c r="G202">
        <v>3.13</v>
      </c>
    </row>
    <row r="203" spans="1:7" x14ac:dyDescent="0.25">
      <c r="A203">
        <v>1996</v>
      </c>
      <c r="B203" t="s">
        <v>132</v>
      </c>
      <c r="C203">
        <v>70</v>
      </c>
      <c r="D203">
        <v>1689</v>
      </c>
      <c r="E203">
        <v>71</v>
      </c>
      <c r="F203">
        <v>127</v>
      </c>
      <c r="G203">
        <v>3.1</v>
      </c>
    </row>
    <row r="204" spans="1:7" x14ac:dyDescent="0.25">
      <c r="A204">
        <v>1996</v>
      </c>
      <c r="B204" t="s">
        <v>133</v>
      </c>
      <c r="C204">
        <v>80</v>
      </c>
      <c r="D204">
        <v>1423</v>
      </c>
      <c r="E204">
        <v>63</v>
      </c>
      <c r="F204">
        <v>112</v>
      </c>
      <c r="G204">
        <v>3.15</v>
      </c>
    </row>
    <row r="205" spans="1:7" x14ac:dyDescent="0.25">
      <c r="A205">
        <v>1996</v>
      </c>
      <c r="B205" t="s">
        <v>134</v>
      </c>
      <c r="C205">
        <v>50</v>
      </c>
      <c r="D205">
        <v>968</v>
      </c>
      <c r="E205">
        <v>55</v>
      </c>
      <c r="F205">
        <v>105</v>
      </c>
      <c r="G205">
        <v>3.2</v>
      </c>
    </row>
    <row r="206" spans="1:7" x14ac:dyDescent="0.25">
      <c r="A206">
        <v>1996</v>
      </c>
      <c r="B206" t="s">
        <v>60</v>
      </c>
      <c r="C206">
        <v>50</v>
      </c>
      <c r="D206">
        <v>725</v>
      </c>
      <c r="E206">
        <v>59</v>
      </c>
      <c r="F206">
        <v>108</v>
      </c>
      <c r="G206">
        <v>3.04</v>
      </c>
    </row>
    <row r="207" spans="1:7" x14ac:dyDescent="0.25">
      <c r="A207">
        <v>1996</v>
      </c>
      <c r="B207" t="s">
        <v>106</v>
      </c>
      <c r="C207">
        <v>40</v>
      </c>
      <c r="D207">
        <v>358</v>
      </c>
      <c r="E207">
        <v>49</v>
      </c>
      <c r="F207">
        <v>90</v>
      </c>
      <c r="G207">
        <v>2.1</v>
      </c>
    </row>
    <row r="208" spans="1:7" x14ac:dyDescent="0.25">
      <c r="A208">
        <v>1996</v>
      </c>
      <c r="B208" t="s">
        <v>62</v>
      </c>
      <c r="C208">
        <v>240</v>
      </c>
      <c r="D208">
        <v>1302</v>
      </c>
      <c r="E208">
        <v>56</v>
      </c>
      <c r="F208">
        <v>106</v>
      </c>
      <c r="G208">
        <v>1.78</v>
      </c>
    </row>
    <row r="209" spans="1:7" x14ac:dyDescent="0.25">
      <c r="A209">
        <v>1996</v>
      </c>
      <c r="B209" t="s">
        <v>63</v>
      </c>
      <c r="C209">
        <v>40</v>
      </c>
      <c r="D209">
        <v>168</v>
      </c>
      <c r="E209">
        <v>50</v>
      </c>
      <c r="F209">
        <v>106</v>
      </c>
      <c r="G209">
        <v>1.65</v>
      </c>
    </row>
    <row r="210" spans="1:7" x14ac:dyDescent="0.25">
      <c r="A210">
        <v>1996</v>
      </c>
      <c r="B210" t="s">
        <v>107</v>
      </c>
      <c r="C210">
        <v>600</v>
      </c>
      <c r="D210">
        <v>7431</v>
      </c>
      <c r="E210">
        <v>57</v>
      </c>
      <c r="F210">
        <v>121</v>
      </c>
      <c r="G210">
        <v>2.79</v>
      </c>
    </row>
    <row r="211" spans="1:7" x14ac:dyDescent="0.25">
      <c r="A211">
        <v>1996</v>
      </c>
      <c r="B211" t="s">
        <v>65</v>
      </c>
      <c r="C211">
        <v>844</v>
      </c>
      <c r="D211">
        <v>9364</v>
      </c>
      <c r="E211">
        <v>76</v>
      </c>
      <c r="F211">
        <v>139</v>
      </c>
      <c r="G211">
        <v>3.08</v>
      </c>
    </row>
    <row r="212" spans="1:7" x14ac:dyDescent="0.25">
      <c r="A212">
        <v>1996</v>
      </c>
      <c r="B212" t="s">
        <v>135</v>
      </c>
      <c r="C212">
        <v>130</v>
      </c>
      <c r="D212">
        <v>1169</v>
      </c>
      <c r="E212">
        <v>73</v>
      </c>
      <c r="F212">
        <v>126</v>
      </c>
      <c r="G212">
        <v>2.71</v>
      </c>
    </row>
    <row r="213" spans="1:7" x14ac:dyDescent="0.25">
      <c r="A213">
        <v>1996</v>
      </c>
      <c r="B213" t="s">
        <v>136</v>
      </c>
      <c r="C213">
        <v>60</v>
      </c>
      <c r="D213">
        <v>528</v>
      </c>
      <c r="E213">
        <v>66</v>
      </c>
      <c r="F213">
        <v>111</v>
      </c>
      <c r="G213">
        <v>2.52</v>
      </c>
    </row>
    <row r="214" spans="1:7" x14ac:dyDescent="0.25">
      <c r="A214">
        <v>1996</v>
      </c>
      <c r="B214" t="s">
        <v>137</v>
      </c>
      <c r="C214">
        <v>230</v>
      </c>
      <c r="D214">
        <v>1815</v>
      </c>
      <c r="E214">
        <v>69</v>
      </c>
      <c r="F214">
        <v>131</v>
      </c>
      <c r="G214">
        <v>2.4500000000000002</v>
      </c>
    </row>
    <row r="215" spans="1:7" x14ac:dyDescent="0.25">
      <c r="A215">
        <v>1996</v>
      </c>
      <c r="B215" t="s">
        <v>138</v>
      </c>
      <c r="C215">
        <v>50</v>
      </c>
      <c r="D215">
        <v>238</v>
      </c>
      <c r="E215">
        <v>60</v>
      </c>
      <c r="F215">
        <v>101</v>
      </c>
      <c r="G215">
        <v>1.68</v>
      </c>
    </row>
    <row r="216" spans="1:7" x14ac:dyDescent="0.25">
      <c r="A216">
        <v>1996</v>
      </c>
      <c r="B216" t="s">
        <v>139</v>
      </c>
      <c r="C216">
        <v>40</v>
      </c>
      <c r="D216">
        <v>83</v>
      </c>
      <c r="E216">
        <v>37</v>
      </c>
      <c r="F216">
        <v>88</v>
      </c>
      <c r="G216">
        <v>1.58</v>
      </c>
    </row>
    <row r="217" spans="1:7" x14ac:dyDescent="0.25">
      <c r="A217">
        <v>1996</v>
      </c>
      <c r="B217" t="s">
        <v>140</v>
      </c>
      <c r="C217">
        <v>130</v>
      </c>
      <c r="D217">
        <v>387</v>
      </c>
      <c r="E217">
        <v>43</v>
      </c>
      <c r="F217">
        <v>125</v>
      </c>
      <c r="G217">
        <v>1.7</v>
      </c>
    </row>
    <row r="218" spans="1:7" x14ac:dyDescent="0.25">
      <c r="A218">
        <v>1996</v>
      </c>
      <c r="B218" t="s">
        <v>141</v>
      </c>
      <c r="C218">
        <v>100</v>
      </c>
      <c r="D218">
        <v>1875</v>
      </c>
      <c r="E218">
        <v>70</v>
      </c>
      <c r="F218">
        <v>137</v>
      </c>
      <c r="G218">
        <v>3.04</v>
      </c>
    </row>
    <row r="219" spans="1:7" x14ac:dyDescent="0.25">
      <c r="A219">
        <v>1996</v>
      </c>
      <c r="B219" t="s">
        <v>142</v>
      </c>
      <c r="C219">
        <v>250</v>
      </c>
      <c r="D219">
        <v>759</v>
      </c>
      <c r="E219">
        <v>49</v>
      </c>
      <c r="F219">
        <v>119</v>
      </c>
      <c r="G219">
        <v>1.41</v>
      </c>
    </row>
    <row r="220" spans="1:7" x14ac:dyDescent="0.25">
      <c r="A220">
        <v>1996</v>
      </c>
      <c r="B220" t="s">
        <v>74</v>
      </c>
      <c r="C220">
        <v>270</v>
      </c>
      <c r="D220">
        <v>900</v>
      </c>
      <c r="E220">
        <v>60</v>
      </c>
      <c r="F220">
        <v>130</v>
      </c>
      <c r="G220">
        <v>1.45</v>
      </c>
    </row>
    <row r="221" spans="1:7" x14ac:dyDescent="0.25">
      <c r="A221">
        <v>1996</v>
      </c>
      <c r="B221" t="s">
        <v>143</v>
      </c>
      <c r="C221">
        <v>60</v>
      </c>
      <c r="D221">
        <v>335</v>
      </c>
      <c r="E221">
        <v>66</v>
      </c>
      <c r="F221">
        <v>137</v>
      </c>
      <c r="G221">
        <v>1.87</v>
      </c>
    </row>
    <row r="222" spans="1:7" x14ac:dyDescent="0.25">
      <c r="A222">
        <v>1996</v>
      </c>
      <c r="B222" t="s">
        <v>144</v>
      </c>
      <c r="C222">
        <v>50</v>
      </c>
      <c r="D222">
        <v>138</v>
      </c>
      <c r="E222">
        <v>51</v>
      </c>
      <c r="F222">
        <v>82</v>
      </c>
      <c r="G222">
        <v>1.44</v>
      </c>
    </row>
    <row r="223" spans="1:7" x14ac:dyDescent="0.25">
      <c r="A223">
        <v>1996</v>
      </c>
      <c r="B223" t="s">
        <v>145</v>
      </c>
      <c r="C223">
        <v>40</v>
      </c>
      <c r="D223">
        <v>210</v>
      </c>
      <c r="E223">
        <v>57</v>
      </c>
      <c r="F223">
        <v>93</v>
      </c>
      <c r="G223">
        <v>1.73</v>
      </c>
    </row>
    <row r="224" spans="1:7" x14ac:dyDescent="0.25">
      <c r="A224">
        <v>1996</v>
      </c>
      <c r="B224" t="s">
        <v>146</v>
      </c>
      <c r="C224">
        <v>50</v>
      </c>
      <c r="D224">
        <v>119</v>
      </c>
      <c r="E224">
        <v>46</v>
      </c>
      <c r="F224">
        <v>97</v>
      </c>
      <c r="G224">
        <v>1.48</v>
      </c>
    </row>
    <row r="225" spans="1:7" x14ac:dyDescent="0.25">
      <c r="A225">
        <v>1996</v>
      </c>
      <c r="B225" t="s">
        <v>147</v>
      </c>
      <c r="C225">
        <v>70</v>
      </c>
      <c r="D225">
        <v>262</v>
      </c>
      <c r="E225">
        <v>55</v>
      </c>
      <c r="F225">
        <v>103</v>
      </c>
      <c r="G225">
        <v>1.46</v>
      </c>
    </row>
    <row r="226" spans="1:7" x14ac:dyDescent="0.25">
      <c r="A226">
        <v>1996</v>
      </c>
      <c r="B226" t="s">
        <v>117</v>
      </c>
      <c r="C226">
        <v>600</v>
      </c>
      <c r="D226">
        <v>3624</v>
      </c>
      <c r="E226">
        <v>60</v>
      </c>
      <c r="F226">
        <v>123</v>
      </c>
      <c r="G226">
        <v>1.86</v>
      </c>
    </row>
    <row r="227" spans="1:7" x14ac:dyDescent="0.25">
      <c r="A227">
        <v>1997</v>
      </c>
      <c r="B227" t="s">
        <v>80</v>
      </c>
      <c r="C227">
        <v>30</v>
      </c>
      <c r="D227">
        <v>255</v>
      </c>
      <c r="E227">
        <v>58</v>
      </c>
      <c r="F227">
        <v>110</v>
      </c>
      <c r="G227">
        <v>2.33</v>
      </c>
    </row>
    <row r="228" spans="1:7" x14ac:dyDescent="0.25">
      <c r="A228">
        <v>1997</v>
      </c>
      <c r="B228" t="s">
        <v>148</v>
      </c>
      <c r="C228">
        <v>15</v>
      </c>
      <c r="D228">
        <v>372</v>
      </c>
      <c r="E228">
        <v>70</v>
      </c>
      <c r="F228">
        <v>121</v>
      </c>
      <c r="G228">
        <v>3.27</v>
      </c>
    </row>
    <row r="229" spans="1:7" x14ac:dyDescent="0.25">
      <c r="A229">
        <v>1997</v>
      </c>
      <c r="B229" t="s">
        <v>119</v>
      </c>
      <c r="C229">
        <v>10</v>
      </c>
      <c r="D229">
        <v>95</v>
      </c>
      <c r="E229">
        <v>56</v>
      </c>
      <c r="F229">
        <v>126</v>
      </c>
      <c r="G229">
        <v>2.6</v>
      </c>
    </row>
    <row r="230" spans="1:7" x14ac:dyDescent="0.25">
      <c r="A230">
        <v>1997</v>
      </c>
      <c r="B230" t="s">
        <v>10</v>
      </c>
      <c r="C230">
        <v>20</v>
      </c>
      <c r="D230">
        <v>376</v>
      </c>
      <c r="E230">
        <v>65</v>
      </c>
      <c r="F230">
        <v>108</v>
      </c>
      <c r="G230">
        <v>3.4</v>
      </c>
    </row>
    <row r="231" spans="1:7" x14ac:dyDescent="0.25">
      <c r="A231">
        <v>1997</v>
      </c>
      <c r="B231" t="s">
        <v>81</v>
      </c>
      <c r="C231">
        <v>30</v>
      </c>
      <c r="D231">
        <v>286</v>
      </c>
      <c r="E231">
        <v>51</v>
      </c>
      <c r="F231">
        <v>117</v>
      </c>
      <c r="G231">
        <v>2.37</v>
      </c>
    </row>
    <row r="232" spans="1:7" x14ac:dyDescent="0.25">
      <c r="A232">
        <v>1997</v>
      </c>
      <c r="B232" t="s">
        <v>82</v>
      </c>
      <c r="C232">
        <v>40</v>
      </c>
      <c r="D232">
        <v>276</v>
      </c>
      <c r="E232">
        <v>44</v>
      </c>
      <c r="F232">
        <v>75</v>
      </c>
      <c r="G232">
        <v>2.4500000000000002</v>
      </c>
    </row>
    <row r="233" spans="1:7" x14ac:dyDescent="0.25">
      <c r="A233">
        <v>1997</v>
      </c>
      <c r="B233" t="s">
        <v>13</v>
      </c>
      <c r="C233">
        <v>15</v>
      </c>
      <c r="D233">
        <v>372</v>
      </c>
      <c r="E233">
        <v>86</v>
      </c>
      <c r="F233">
        <v>131</v>
      </c>
      <c r="G233">
        <v>3.13</v>
      </c>
    </row>
    <row r="234" spans="1:7" x14ac:dyDescent="0.25">
      <c r="A234">
        <v>1997</v>
      </c>
      <c r="B234" t="s">
        <v>120</v>
      </c>
      <c r="C234">
        <v>40</v>
      </c>
      <c r="D234">
        <v>322</v>
      </c>
      <c r="E234">
        <v>61</v>
      </c>
      <c r="F234">
        <v>106</v>
      </c>
      <c r="G234">
        <v>2.2799999999999998</v>
      </c>
    </row>
    <row r="235" spans="1:7" x14ac:dyDescent="0.25">
      <c r="A235">
        <v>1997</v>
      </c>
      <c r="B235" t="s">
        <v>121</v>
      </c>
      <c r="C235">
        <v>15</v>
      </c>
      <c r="D235">
        <v>476</v>
      </c>
      <c r="E235">
        <v>79</v>
      </c>
      <c r="F235">
        <v>134</v>
      </c>
      <c r="G235">
        <v>3.13</v>
      </c>
    </row>
    <row r="236" spans="1:7" x14ac:dyDescent="0.25">
      <c r="A236">
        <v>1997</v>
      </c>
      <c r="B236" t="s">
        <v>15</v>
      </c>
      <c r="C236">
        <v>45</v>
      </c>
      <c r="D236">
        <v>2000</v>
      </c>
      <c r="E236">
        <v>92</v>
      </c>
      <c r="F236">
        <v>130</v>
      </c>
      <c r="G236">
        <v>3</v>
      </c>
    </row>
    <row r="237" spans="1:7" x14ac:dyDescent="0.25">
      <c r="A237">
        <v>1997</v>
      </c>
      <c r="B237" t="s">
        <v>16</v>
      </c>
      <c r="C237">
        <v>40</v>
      </c>
      <c r="D237">
        <v>2602</v>
      </c>
      <c r="E237">
        <v>88</v>
      </c>
      <c r="F237">
        <v>126</v>
      </c>
      <c r="G237">
        <v>3.05</v>
      </c>
    </row>
    <row r="238" spans="1:7" x14ac:dyDescent="0.25">
      <c r="A238">
        <v>1997</v>
      </c>
      <c r="B238" t="s">
        <v>122</v>
      </c>
      <c r="C238">
        <v>20</v>
      </c>
      <c r="D238">
        <v>459</v>
      </c>
      <c r="E238">
        <v>74</v>
      </c>
      <c r="F238">
        <v>104</v>
      </c>
      <c r="G238">
        <v>3.1</v>
      </c>
    </row>
    <row r="239" spans="1:7" x14ac:dyDescent="0.25">
      <c r="A239">
        <v>1997</v>
      </c>
      <c r="B239" t="s">
        <v>18</v>
      </c>
      <c r="C239">
        <v>20</v>
      </c>
      <c r="D239">
        <v>558</v>
      </c>
      <c r="E239">
        <v>73</v>
      </c>
      <c r="F239">
        <v>109</v>
      </c>
      <c r="G239">
        <v>3.2</v>
      </c>
    </row>
    <row r="240" spans="1:7" x14ac:dyDescent="0.25">
      <c r="A240">
        <v>1997</v>
      </c>
      <c r="B240" t="s">
        <v>19</v>
      </c>
      <c r="C240">
        <v>20</v>
      </c>
      <c r="D240">
        <v>1472</v>
      </c>
      <c r="E240">
        <v>82</v>
      </c>
      <c r="F240">
        <v>136</v>
      </c>
      <c r="G240">
        <v>3.45</v>
      </c>
    </row>
    <row r="241" spans="1:7" x14ac:dyDescent="0.25">
      <c r="A241">
        <v>1997</v>
      </c>
      <c r="B241" t="s">
        <v>20</v>
      </c>
      <c r="C241">
        <v>200</v>
      </c>
      <c r="D241">
        <v>997</v>
      </c>
      <c r="E241">
        <v>60</v>
      </c>
      <c r="F241">
        <v>105</v>
      </c>
      <c r="G241">
        <v>1.73</v>
      </c>
    </row>
    <row r="242" spans="1:7" x14ac:dyDescent="0.25">
      <c r="A242">
        <v>1997</v>
      </c>
      <c r="B242" t="s">
        <v>83</v>
      </c>
      <c r="C242">
        <v>40</v>
      </c>
      <c r="D242">
        <v>142</v>
      </c>
      <c r="E242">
        <v>49</v>
      </c>
      <c r="F242">
        <v>89</v>
      </c>
      <c r="G242">
        <v>1.5</v>
      </c>
    </row>
    <row r="243" spans="1:7" x14ac:dyDescent="0.25">
      <c r="A243">
        <v>1997</v>
      </c>
      <c r="B243" t="s">
        <v>22</v>
      </c>
      <c r="C243">
        <v>160</v>
      </c>
      <c r="D243">
        <v>642</v>
      </c>
      <c r="E243">
        <v>59</v>
      </c>
      <c r="F243">
        <v>124</v>
      </c>
      <c r="G243">
        <v>1.43</v>
      </c>
    </row>
    <row r="244" spans="1:7" x14ac:dyDescent="0.25">
      <c r="A244">
        <v>1997</v>
      </c>
      <c r="B244" t="s">
        <v>23</v>
      </c>
      <c r="C244">
        <v>160</v>
      </c>
      <c r="D244">
        <v>696</v>
      </c>
      <c r="E244">
        <v>55</v>
      </c>
      <c r="F244">
        <v>117</v>
      </c>
      <c r="G244">
        <v>1.5</v>
      </c>
    </row>
    <row r="245" spans="1:7" x14ac:dyDescent="0.25">
      <c r="A245">
        <v>1997</v>
      </c>
      <c r="B245" t="s">
        <v>24</v>
      </c>
      <c r="C245">
        <v>260</v>
      </c>
      <c r="D245">
        <v>1272</v>
      </c>
      <c r="E245">
        <v>58</v>
      </c>
      <c r="F245">
        <v>124</v>
      </c>
      <c r="G245">
        <v>1.58</v>
      </c>
    </row>
    <row r="246" spans="1:7" x14ac:dyDescent="0.25">
      <c r="A246">
        <v>1997</v>
      </c>
      <c r="B246" t="s">
        <v>25</v>
      </c>
      <c r="C246">
        <v>808</v>
      </c>
      <c r="D246">
        <v>3595</v>
      </c>
      <c r="E246">
        <v>54</v>
      </c>
      <c r="F246">
        <v>128</v>
      </c>
      <c r="G246">
        <v>1.54</v>
      </c>
    </row>
    <row r="247" spans="1:7" x14ac:dyDescent="0.25">
      <c r="A247">
        <v>1997</v>
      </c>
      <c r="B247" t="s">
        <v>149</v>
      </c>
      <c r="C247">
        <v>40</v>
      </c>
      <c r="D247">
        <v>193</v>
      </c>
      <c r="E247">
        <v>51</v>
      </c>
      <c r="F247">
        <v>111</v>
      </c>
      <c r="G247">
        <v>1.63</v>
      </c>
    </row>
    <row r="248" spans="1:7" x14ac:dyDescent="0.25">
      <c r="A248">
        <v>1997</v>
      </c>
      <c r="B248" t="s">
        <v>124</v>
      </c>
      <c r="C248">
        <v>200</v>
      </c>
      <c r="D248">
        <v>4782</v>
      </c>
      <c r="E248">
        <v>83</v>
      </c>
      <c r="F248">
        <v>146</v>
      </c>
      <c r="G248">
        <v>3.07</v>
      </c>
    </row>
    <row r="249" spans="1:7" x14ac:dyDescent="0.25">
      <c r="A249">
        <v>1997</v>
      </c>
      <c r="B249" t="s">
        <v>84</v>
      </c>
      <c r="C249">
        <v>40</v>
      </c>
      <c r="D249">
        <v>704</v>
      </c>
      <c r="E249">
        <v>72</v>
      </c>
      <c r="F249">
        <v>112</v>
      </c>
      <c r="G249">
        <v>3.05</v>
      </c>
    </row>
    <row r="250" spans="1:7" x14ac:dyDescent="0.25">
      <c r="A250">
        <v>1997</v>
      </c>
      <c r="B250" t="s">
        <v>28</v>
      </c>
      <c r="C250">
        <v>140</v>
      </c>
      <c r="D250">
        <v>1488</v>
      </c>
      <c r="E250">
        <v>61</v>
      </c>
      <c r="F250">
        <v>112</v>
      </c>
      <c r="G250">
        <v>2.48</v>
      </c>
    </row>
    <row r="251" spans="1:7" x14ac:dyDescent="0.25">
      <c r="A251">
        <v>1997</v>
      </c>
      <c r="B251" t="s">
        <v>125</v>
      </c>
      <c r="C251">
        <v>40</v>
      </c>
      <c r="D251">
        <v>304</v>
      </c>
      <c r="E251">
        <v>55</v>
      </c>
      <c r="F251">
        <v>92</v>
      </c>
      <c r="G251">
        <v>2.25</v>
      </c>
    </row>
    <row r="252" spans="1:7" x14ac:dyDescent="0.25">
      <c r="A252">
        <v>1997</v>
      </c>
      <c r="B252" t="s">
        <v>30</v>
      </c>
      <c r="C252">
        <v>180</v>
      </c>
      <c r="D252">
        <v>1756</v>
      </c>
      <c r="E252">
        <v>71</v>
      </c>
      <c r="F252">
        <v>125</v>
      </c>
      <c r="G252">
        <v>2.68</v>
      </c>
    </row>
    <row r="253" spans="1:7" x14ac:dyDescent="0.25">
      <c r="A253">
        <v>1997</v>
      </c>
      <c r="B253" t="s">
        <v>86</v>
      </c>
      <c r="C253">
        <v>40</v>
      </c>
      <c r="D253">
        <v>334</v>
      </c>
      <c r="E253">
        <v>63</v>
      </c>
      <c r="F253">
        <v>121</v>
      </c>
      <c r="G253">
        <v>2.35</v>
      </c>
    </row>
    <row r="254" spans="1:7" x14ac:dyDescent="0.25">
      <c r="A254">
        <v>1997</v>
      </c>
      <c r="B254" t="s">
        <v>87</v>
      </c>
      <c r="C254">
        <v>150</v>
      </c>
      <c r="D254">
        <v>2724</v>
      </c>
      <c r="E254">
        <v>78</v>
      </c>
      <c r="F254">
        <v>132</v>
      </c>
      <c r="G254">
        <v>3.05</v>
      </c>
    </row>
    <row r="255" spans="1:7" x14ac:dyDescent="0.25">
      <c r="A255">
        <v>1997</v>
      </c>
      <c r="B255" t="s">
        <v>88</v>
      </c>
      <c r="C255">
        <v>30</v>
      </c>
      <c r="D255">
        <v>611</v>
      </c>
      <c r="E255">
        <v>73</v>
      </c>
      <c r="F255">
        <v>127</v>
      </c>
      <c r="G255">
        <v>3</v>
      </c>
    </row>
    <row r="256" spans="1:7" x14ac:dyDescent="0.25">
      <c r="A256">
        <v>1997</v>
      </c>
      <c r="B256" t="s">
        <v>34</v>
      </c>
      <c r="C256">
        <v>450</v>
      </c>
      <c r="D256">
        <v>12728</v>
      </c>
      <c r="E256">
        <v>85</v>
      </c>
      <c r="F256">
        <v>140</v>
      </c>
      <c r="G256">
        <v>3.12</v>
      </c>
    </row>
    <row r="257" spans="1:7" x14ac:dyDescent="0.25">
      <c r="A257">
        <v>1997</v>
      </c>
      <c r="B257" t="s">
        <v>35</v>
      </c>
      <c r="C257">
        <v>120</v>
      </c>
      <c r="D257">
        <v>1270</v>
      </c>
      <c r="E257">
        <v>50</v>
      </c>
      <c r="F257">
        <v>121</v>
      </c>
      <c r="G257">
        <v>2.29</v>
      </c>
    </row>
    <row r="258" spans="1:7" x14ac:dyDescent="0.25">
      <c r="A258">
        <v>1997</v>
      </c>
      <c r="B258" t="s">
        <v>89</v>
      </c>
      <c r="C258">
        <v>50</v>
      </c>
      <c r="D258">
        <v>215</v>
      </c>
      <c r="E258">
        <v>44</v>
      </c>
      <c r="F258">
        <v>89</v>
      </c>
      <c r="G258">
        <v>1.48</v>
      </c>
    </row>
    <row r="259" spans="1:7" x14ac:dyDescent="0.25">
      <c r="A259">
        <v>1997</v>
      </c>
      <c r="B259" t="s">
        <v>150</v>
      </c>
      <c r="C259">
        <v>200</v>
      </c>
      <c r="D259">
        <v>4003</v>
      </c>
      <c r="E259">
        <v>53</v>
      </c>
      <c r="F259">
        <v>132</v>
      </c>
      <c r="G259">
        <v>3.2</v>
      </c>
    </row>
    <row r="260" spans="1:7" x14ac:dyDescent="0.25">
      <c r="A260">
        <v>1997</v>
      </c>
      <c r="B260" t="s">
        <v>151</v>
      </c>
      <c r="C260">
        <v>600</v>
      </c>
      <c r="D260">
        <v>7030</v>
      </c>
      <c r="E260">
        <v>58</v>
      </c>
      <c r="F260">
        <v>109</v>
      </c>
      <c r="G260">
        <v>2.61</v>
      </c>
    </row>
    <row r="261" spans="1:7" x14ac:dyDescent="0.25">
      <c r="A261">
        <v>1997</v>
      </c>
      <c r="B261" t="s">
        <v>38</v>
      </c>
      <c r="C261">
        <v>180</v>
      </c>
      <c r="D261">
        <v>2040</v>
      </c>
      <c r="E261">
        <v>68</v>
      </c>
      <c r="F261">
        <v>127</v>
      </c>
      <c r="G261">
        <v>2.79</v>
      </c>
    </row>
    <row r="262" spans="1:7" x14ac:dyDescent="0.25">
      <c r="A262">
        <v>1997</v>
      </c>
      <c r="B262" t="s">
        <v>126</v>
      </c>
      <c r="C262">
        <v>25</v>
      </c>
      <c r="D262">
        <v>496</v>
      </c>
      <c r="E262">
        <v>81</v>
      </c>
      <c r="F262">
        <v>113</v>
      </c>
      <c r="G262">
        <v>3</v>
      </c>
    </row>
    <row r="263" spans="1:7" x14ac:dyDescent="0.25">
      <c r="A263">
        <v>1997</v>
      </c>
      <c r="B263" t="s">
        <v>127</v>
      </c>
      <c r="C263">
        <v>40</v>
      </c>
      <c r="D263">
        <v>334</v>
      </c>
      <c r="E263">
        <v>65</v>
      </c>
      <c r="F263">
        <v>123</v>
      </c>
      <c r="G263">
        <v>2.38</v>
      </c>
    </row>
    <row r="264" spans="1:7" x14ac:dyDescent="0.25">
      <c r="A264">
        <v>1997</v>
      </c>
      <c r="B264" t="s">
        <v>41</v>
      </c>
      <c r="C264">
        <v>190</v>
      </c>
      <c r="D264">
        <v>1944</v>
      </c>
      <c r="E264">
        <v>52</v>
      </c>
      <c r="F264">
        <v>107</v>
      </c>
      <c r="G264">
        <v>2.2599999999999998</v>
      </c>
    </row>
    <row r="265" spans="1:7" x14ac:dyDescent="0.25">
      <c r="A265">
        <v>1997</v>
      </c>
      <c r="B265" t="s">
        <v>92</v>
      </c>
      <c r="C265">
        <v>80</v>
      </c>
      <c r="D265">
        <v>473</v>
      </c>
      <c r="E265">
        <v>50</v>
      </c>
      <c r="F265">
        <v>105</v>
      </c>
      <c r="G265">
        <v>1.78</v>
      </c>
    </row>
    <row r="266" spans="1:7" x14ac:dyDescent="0.25">
      <c r="A266">
        <v>1997</v>
      </c>
      <c r="B266" t="s">
        <v>43</v>
      </c>
      <c r="C266">
        <v>135</v>
      </c>
      <c r="D266">
        <v>2034</v>
      </c>
      <c r="E266">
        <v>73</v>
      </c>
      <c r="F266">
        <v>137</v>
      </c>
      <c r="G266">
        <v>3.03</v>
      </c>
    </row>
    <row r="267" spans="1:7" x14ac:dyDescent="0.25">
      <c r="A267">
        <v>1997</v>
      </c>
      <c r="B267" t="s">
        <v>44</v>
      </c>
      <c r="C267">
        <v>50</v>
      </c>
      <c r="D267">
        <v>924</v>
      </c>
      <c r="E267">
        <v>75</v>
      </c>
      <c r="F267">
        <v>107</v>
      </c>
      <c r="G267">
        <v>3.02</v>
      </c>
    </row>
    <row r="268" spans="1:7" x14ac:dyDescent="0.25">
      <c r="A268">
        <v>1997</v>
      </c>
      <c r="B268" t="s">
        <v>45</v>
      </c>
      <c r="C268">
        <v>485</v>
      </c>
      <c r="D268">
        <v>13802</v>
      </c>
      <c r="E268">
        <v>102</v>
      </c>
      <c r="F268">
        <v>142</v>
      </c>
      <c r="G268">
        <v>3.08</v>
      </c>
    </row>
    <row r="269" spans="1:7" x14ac:dyDescent="0.25">
      <c r="A269">
        <v>1997</v>
      </c>
      <c r="B269" t="s">
        <v>46</v>
      </c>
      <c r="C269">
        <v>80</v>
      </c>
      <c r="D269">
        <v>2504</v>
      </c>
      <c r="E269">
        <v>79</v>
      </c>
      <c r="F269">
        <v>131</v>
      </c>
      <c r="G269">
        <v>3.1</v>
      </c>
    </row>
    <row r="270" spans="1:7" x14ac:dyDescent="0.25">
      <c r="A270">
        <v>1997</v>
      </c>
      <c r="B270" t="s">
        <v>130</v>
      </c>
      <c r="C270">
        <v>30</v>
      </c>
      <c r="D270">
        <v>446</v>
      </c>
      <c r="E270">
        <v>64</v>
      </c>
      <c r="F270">
        <v>115</v>
      </c>
      <c r="G270">
        <v>3</v>
      </c>
    </row>
    <row r="271" spans="1:7" x14ac:dyDescent="0.25">
      <c r="A271">
        <v>1997</v>
      </c>
      <c r="B271" t="s">
        <v>48</v>
      </c>
      <c r="C271">
        <v>133</v>
      </c>
      <c r="D271">
        <v>3258</v>
      </c>
      <c r="E271">
        <v>75</v>
      </c>
      <c r="F271">
        <v>128</v>
      </c>
      <c r="G271">
        <v>3.09</v>
      </c>
    </row>
    <row r="272" spans="1:7" x14ac:dyDescent="0.25">
      <c r="A272">
        <v>1997</v>
      </c>
      <c r="B272" t="s">
        <v>97</v>
      </c>
      <c r="C272">
        <v>80</v>
      </c>
      <c r="D272">
        <v>1121</v>
      </c>
      <c r="E272">
        <v>72</v>
      </c>
      <c r="F272">
        <v>117</v>
      </c>
      <c r="G272">
        <v>3.18</v>
      </c>
    </row>
    <row r="273" spans="1:7" x14ac:dyDescent="0.25">
      <c r="A273">
        <v>1997</v>
      </c>
      <c r="B273" t="s">
        <v>98</v>
      </c>
      <c r="C273">
        <v>50</v>
      </c>
      <c r="D273">
        <v>2035</v>
      </c>
      <c r="E273">
        <v>83</v>
      </c>
      <c r="F273">
        <v>129</v>
      </c>
      <c r="G273">
        <v>3.14</v>
      </c>
    </row>
    <row r="274" spans="1:7" x14ac:dyDescent="0.25">
      <c r="A274">
        <v>1997</v>
      </c>
      <c r="B274" t="s">
        <v>152</v>
      </c>
      <c r="C274">
        <v>25</v>
      </c>
      <c r="D274">
        <v>411</v>
      </c>
      <c r="E274">
        <v>60</v>
      </c>
      <c r="F274">
        <v>91</v>
      </c>
      <c r="G274">
        <v>3.04</v>
      </c>
    </row>
    <row r="275" spans="1:7" x14ac:dyDescent="0.25">
      <c r="A275">
        <v>1997</v>
      </c>
      <c r="B275" t="s">
        <v>153</v>
      </c>
      <c r="C275">
        <v>33</v>
      </c>
      <c r="D275">
        <v>320</v>
      </c>
      <c r="E275">
        <v>57</v>
      </c>
      <c r="F275">
        <v>110</v>
      </c>
      <c r="G275">
        <v>2.33</v>
      </c>
    </row>
    <row r="276" spans="1:7" x14ac:dyDescent="0.25">
      <c r="A276">
        <v>1997</v>
      </c>
      <c r="B276" t="s">
        <v>154</v>
      </c>
      <c r="C276">
        <v>25</v>
      </c>
      <c r="D276">
        <v>394</v>
      </c>
      <c r="E276">
        <v>60</v>
      </c>
      <c r="F276">
        <v>103</v>
      </c>
      <c r="G276">
        <v>3.12</v>
      </c>
    </row>
    <row r="277" spans="1:7" x14ac:dyDescent="0.25">
      <c r="A277">
        <v>1997</v>
      </c>
      <c r="B277" t="s">
        <v>155</v>
      </c>
      <c r="C277">
        <v>13</v>
      </c>
      <c r="D277">
        <v>94</v>
      </c>
      <c r="E277">
        <v>59</v>
      </c>
      <c r="F277">
        <v>96</v>
      </c>
      <c r="G277">
        <v>2.08</v>
      </c>
    </row>
    <row r="278" spans="1:7" x14ac:dyDescent="0.25">
      <c r="A278">
        <v>1997</v>
      </c>
      <c r="B278" t="s">
        <v>156</v>
      </c>
      <c r="C278">
        <v>25</v>
      </c>
      <c r="D278">
        <v>1189</v>
      </c>
      <c r="E278">
        <v>84</v>
      </c>
      <c r="F278">
        <v>122</v>
      </c>
      <c r="G278">
        <v>3</v>
      </c>
    </row>
    <row r="279" spans="1:7" x14ac:dyDescent="0.25">
      <c r="A279">
        <v>1997</v>
      </c>
      <c r="B279" t="s">
        <v>157</v>
      </c>
      <c r="C279">
        <v>40</v>
      </c>
      <c r="D279">
        <v>1394</v>
      </c>
      <c r="E279">
        <v>75</v>
      </c>
      <c r="F279">
        <v>108</v>
      </c>
      <c r="G279">
        <v>3.18</v>
      </c>
    </row>
    <row r="280" spans="1:7" x14ac:dyDescent="0.25">
      <c r="A280">
        <v>1997</v>
      </c>
      <c r="B280" t="s">
        <v>158</v>
      </c>
      <c r="C280">
        <v>55</v>
      </c>
      <c r="D280">
        <v>795</v>
      </c>
      <c r="E280">
        <v>58</v>
      </c>
      <c r="F280">
        <v>105</v>
      </c>
      <c r="G280">
        <v>3.02</v>
      </c>
    </row>
    <row r="281" spans="1:7" x14ac:dyDescent="0.25">
      <c r="A281">
        <v>1997</v>
      </c>
      <c r="B281" t="s">
        <v>159</v>
      </c>
      <c r="C281">
        <v>40</v>
      </c>
      <c r="D281">
        <v>1115</v>
      </c>
      <c r="E281">
        <v>71</v>
      </c>
      <c r="F281">
        <v>118</v>
      </c>
      <c r="G281">
        <v>3</v>
      </c>
    </row>
    <row r="282" spans="1:7" x14ac:dyDescent="0.25">
      <c r="A282">
        <v>1997</v>
      </c>
      <c r="B282" t="s">
        <v>58</v>
      </c>
      <c r="C282">
        <v>70</v>
      </c>
      <c r="D282">
        <v>1593</v>
      </c>
      <c r="E282">
        <v>74</v>
      </c>
      <c r="F282">
        <v>132</v>
      </c>
      <c r="G282">
        <v>3.14</v>
      </c>
    </row>
    <row r="283" spans="1:7" x14ac:dyDescent="0.25">
      <c r="A283">
        <v>1997</v>
      </c>
      <c r="B283" t="s">
        <v>160</v>
      </c>
      <c r="C283">
        <v>80</v>
      </c>
      <c r="D283">
        <v>1511</v>
      </c>
      <c r="E283">
        <v>66</v>
      </c>
      <c r="F283">
        <v>107</v>
      </c>
      <c r="G283">
        <v>3.01</v>
      </c>
    </row>
    <row r="284" spans="1:7" x14ac:dyDescent="0.25">
      <c r="A284">
        <v>1997</v>
      </c>
      <c r="B284" t="s">
        <v>134</v>
      </c>
      <c r="C284">
        <v>50</v>
      </c>
      <c r="D284">
        <v>1086</v>
      </c>
      <c r="E284">
        <v>58</v>
      </c>
      <c r="F284">
        <v>115</v>
      </c>
      <c r="G284">
        <v>3.04</v>
      </c>
    </row>
    <row r="285" spans="1:7" x14ac:dyDescent="0.25">
      <c r="A285">
        <v>1997</v>
      </c>
      <c r="B285" t="s">
        <v>60</v>
      </c>
      <c r="C285">
        <v>50</v>
      </c>
      <c r="D285">
        <v>575</v>
      </c>
      <c r="E285">
        <v>61</v>
      </c>
      <c r="F285">
        <v>107</v>
      </c>
      <c r="G285">
        <v>2.64</v>
      </c>
    </row>
    <row r="286" spans="1:7" x14ac:dyDescent="0.25">
      <c r="A286">
        <v>1997</v>
      </c>
      <c r="B286" t="s">
        <v>106</v>
      </c>
      <c r="C286">
        <v>40</v>
      </c>
      <c r="D286">
        <v>446</v>
      </c>
      <c r="E286">
        <v>49</v>
      </c>
      <c r="F286">
        <v>82</v>
      </c>
      <c r="G286">
        <v>2.4</v>
      </c>
    </row>
    <row r="287" spans="1:7" x14ac:dyDescent="0.25">
      <c r="A287">
        <v>1997</v>
      </c>
      <c r="B287" t="s">
        <v>62</v>
      </c>
      <c r="C287">
        <v>240</v>
      </c>
      <c r="D287">
        <v>1566</v>
      </c>
      <c r="E287">
        <v>58</v>
      </c>
      <c r="F287">
        <v>128</v>
      </c>
      <c r="G287">
        <v>1.89</v>
      </c>
    </row>
    <row r="288" spans="1:7" x14ac:dyDescent="0.25">
      <c r="A288">
        <v>1997</v>
      </c>
      <c r="B288" t="s">
        <v>63</v>
      </c>
      <c r="C288">
        <v>40</v>
      </c>
      <c r="D288">
        <v>194</v>
      </c>
      <c r="E288">
        <v>52</v>
      </c>
      <c r="F288">
        <v>89</v>
      </c>
      <c r="G288">
        <v>1.65</v>
      </c>
    </row>
    <row r="289" spans="1:7" x14ac:dyDescent="0.25">
      <c r="A289">
        <v>1997</v>
      </c>
      <c r="B289" t="s">
        <v>161</v>
      </c>
      <c r="C289">
        <v>600</v>
      </c>
      <c r="D289">
        <v>7547</v>
      </c>
      <c r="E289">
        <v>59</v>
      </c>
      <c r="F289">
        <v>113</v>
      </c>
      <c r="G289">
        <v>2.75</v>
      </c>
    </row>
    <row r="290" spans="1:7" x14ac:dyDescent="0.25">
      <c r="A290">
        <v>1997</v>
      </c>
      <c r="B290" t="s">
        <v>65</v>
      </c>
      <c r="C290">
        <v>874</v>
      </c>
      <c r="D290">
        <v>9788</v>
      </c>
      <c r="E290">
        <v>76</v>
      </c>
      <c r="F290">
        <v>142</v>
      </c>
      <c r="G290">
        <v>2.99</v>
      </c>
    </row>
    <row r="291" spans="1:7" x14ac:dyDescent="0.25">
      <c r="A291">
        <v>1997</v>
      </c>
      <c r="B291" t="s">
        <v>162</v>
      </c>
      <c r="C291">
        <v>130</v>
      </c>
      <c r="D291">
        <v>1190</v>
      </c>
      <c r="E291">
        <v>74</v>
      </c>
      <c r="F291">
        <v>124</v>
      </c>
      <c r="G291">
        <v>2.68</v>
      </c>
    </row>
    <row r="292" spans="1:7" x14ac:dyDescent="0.25">
      <c r="A292">
        <v>1997</v>
      </c>
      <c r="B292" t="s">
        <v>163</v>
      </c>
      <c r="C292">
        <v>60</v>
      </c>
      <c r="D292">
        <v>260</v>
      </c>
      <c r="E292">
        <v>66</v>
      </c>
      <c r="F292">
        <v>120</v>
      </c>
      <c r="G292">
        <v>1.73</v>
      </c>
    </row>
    <row r="293" spans="1:7" x14ac:dyDescent="0.25">
      <c r="A293">
        <v>1997</v>
      </c>
      <c r="B293" t="s">
        <v>137</v>
      </c>
      <c r="C293">
        <v>230</v>
      </c>
      <c r="D293">
        <v>1752</v>
      </c>
      <c r="E293">
        <v>71</v>
      </c>
      <c r="F293">
        <v>146</v>
      </c>
      <c r="G293">
        <v>2.39</v>
      </c>
    </row>
    <row r="294" spans="1:7" x14ac:dyDescent="0.25">
      <c r="A294">
        <v>1997</v>
      </c>
      <c r="B294" t="s">
        <v>138</v>
      </c>
      <c r="C294">
        <v>50</v>
      </c>
      <c r="D294">
        <v>513</v>
      </c>
      <c r="E294">
        <v>60</v>
      </c>
      <c r="F294">
        <v>125</v>
      </c>
      <c r="G294">
        <v>2.62</v>
      </c>
    </row>
    <row r="295" spans="1:7" x14ac:dyDescent="0.25">
      <c r="A295">
        <v>1997</v>
      </c>
      <c r="B295" t="s">
        <v>164</v>
      </c>
      <c r="C295">
        <v>40</v>
      </c>
      <c r="D295">
        <v>126</v>
      </c>
      <c r="E295">
        <v>42</v>
      </c>
      <c r="F295">
        <v>105</v>
      </c>
      <c r="G295">
        <v>1.9</v>
      </c>
    </row>
    <row r="296" spans="1:7" x14ac:dyDescent="0.25">
      <c r="A296">
        <v>1997</v>
      </c>
      <c r="B296" t="s">
        <v>165</v>
      </c>
      <c r="C296">
        <v>130</v>
      </c>
      <c r="D296">
        <v>346</v>
      </c>
      <c r="E296">
        <v>42</v>
      </c>
      <c r="F296">
        <v>126</v>
      </c>
      <c r="G296">
        <v>1.55</v>
      </c>
    </row>
    <row r="297" spans="1:7" x14ac:dyDescent="0.25">
      <c r="A297">
        <v>1997</v>
      </c>
      <c r="B297" t="s">
        <v>141</v>
      </c>
      <c r="C297">
        <v>100</v>
      </c>
      <c r="D297">
        <v>1575</v>
      </c>
      <c r="E297">
        <v>71</v>
      </c>
      <c r="F297">
        <v>128</v>
      </c>
      <c r="G297">
        <v>3.09</v>
      </c>
    </row>
    <row r="298" spans="1:7" x14ac:dyDescent="0.25">
      <c r="A298">
        <v>1997</v>
      </c>
      <c r="B298" t="s">
        <v>73</v>
      </c>
      <c r="C298">
        <v>250</v>
      </c>
      <c r="D298">
        <v>1010</v>
      </c>
      <c r="E298">
        <v>54</v>
      </c>
      <c r="F298">
        <v>114</v>
      </c>
      <c r="G298">
        <v>1.49</v>
      </c>
    </row>
    <row r="299" spans="1:7" x14ac:dyDescent="0.25">
      <c r="A299">
        <v>1997</v>
      </c>
      <c r="B299" t="s">
        <v>74</v>
      </c>
      <c r="C299">
        <v>270</v>
      </c>
      <c r="D299">
        <v>815</v>
      </c>
      <c r="E299">
        <v>58</v>
      </c>
      <c r="F299">
        <v>128</v>
      </c>
      <c r="G299">
        <v>1.44</v>
      </c>
    </row>
    <row r="300" spans="1:7" x14ac:dyDescent="0.25">
      <c r="A300">
        <v>1997</v>
      </c>
      <c r="B300" t="s">
        <v>143</v>
      </c>
      <c r="C300">
        <v>62</v>
      </c>
      <c r="D300">
        <v>314</v>
      </c>
      <c r="E300">
        <v>63</v>
      </c>
      <c r="F300">
        <v>116</v>
      </c>
      <c r="G300">
        <v>1.73</v>
      </c>
    </row>
    <row r="301" spans="1:7" x14ac:dyDescent="0.25">
      <c r="A301">
        <v>1997</v>
      </c>
      <c r="B301" t="s">
        <v>144</v>
      </c>
      <c r="C301">
        <v>50</v>
      </c>
      <c r="D301">
        <v>199</v>
      </c>
      <c r="E301">
        <v>51</v>
      </c>
      <c r="F301">
        <v>99</v>
      </c>
      <c r="G301">
        <v>1.48</v>
      </c>
    </row>
    <row r="302" spans="1:7" x14ac:dyDescent="0.25">
      <c r="A302">
        <v>1997</v>
      </c>
      <c r="B302" t="s">
        <v>145</v>
      </c>
      <c r="C302">
        <v>40</v>
      </c>
      <c r="D302">
        <v>101</v>
      </c>
      <c r="E302">
        <v>52</v>
      </c>
      <c r="F302">
        <v>96</v>
      </c>
      <c r="G302">
        <v>1.4</v>
      </c>
    </row>
    <row r="303" spans="1:7" x14ac:dyDescent="0.25">
      <c r="A303">
        <v>1997</v>
      </c>
      <c r="B303" t="s">
        <v>146</v>
      </c>
      <c r="C303">
        <v>50</v>
      </c>
      <c r="D303">
        <v>213</v>
      </c>
      <c r="E303">
        <v>53</v>
      </c>
      <c r="F303">
        <v>115</v>
      </c>
      <c r="G303">
        <v>1.62</v>
      </c>
    </row>
    <row r="304" spans="1:7" x14ac:dyDescent="0.25">
      <c r="A304">
        <v>1997</v>
      </c>
      <c r="B304" t="s">
        <v>147</v>
      </c>
      <c r="C304">
        <v>70</v>
      </c>
      <c r="D304">
        <v>235</v>
      </c>
      <c r="E304">
        <v>55</v>
      </c>
      <c r="F304">
        <v>106</v>
      </c>
      <c r="G304">
        <v>1.43</v>
      </c>
    </row>
    <row r="305" spans="1:7" x14ac:dyDescent="0.25">
      <c r="A305">
        <v>1997</v>
      </c>
      <c r="B305" t="s">
        <v>117</v>
      </c>
      <c r="C305">
        <v>600</v>
      </c>
      <c r="D305">
        <v>3610</v>
      </c>
      <c r="E305">
        <v>60</v>
      </c>
      <c r="F305">
        <v>130</v>
      </c>
      <c r="G305">
        <v>1.85</v>
      </c>
    </row>
    <row r="306" spans="1:7" x14ac:dyDescent="0.25">
      <c r="A306">
        <v>1998</v>
      </c>
      <c r="B306" t="s">
        <v>80</v>
      </c>
      <c r="C306">
        <v>30</v>
      </c>
      <c r="D306">
        <v>288</v>
      </c>
      <c r="E306">
        <v>65</v>
      </c>
      <c r="F306">
        <v>124</v>
      </c>
      <c r="G306">
        <v>2.6</v>
      </c>
    </row>
    <row r="307" spans="1:7" x14ac:dyDescent="0.25">
      <c r="A307">
        <v>1998</v>
      </c>
      <c r="B307" t="s">
        <v>8</v>
      </c>
      <c r="C307">
        <v>15</v>
      </c>
      <c r="D307">
        <v>458</v>
      </c>
      <c r="E307">
        <v>79</v>
      </c>
      <c r="F307">
        <v>126</v>
      </c>
      <c r="G307">
        <v>3</v>
      </c>
    </row>
    <row r="308" spans="1:7" x14ac:dyDescent="0.25">
      <c r="A308">
        <v>1998</v>
      </c>
      <c r="B308" t="s">
        <v>9</v>
      </c>
      <c r="C308">
        <v>10</v>
      </c>
      <c r="D308">
        <v>119</v>
      </c>
      <c r="E308">
        <v>60</v>
      </c>
      <c r="F308">
        <v>100</v>
      </c>
      <c r="G308">
        <v>2.8</v>
      </c>
    </row>
    <row r="309" spans="1:7" x14ac:dyDescent="0.25">
      <c r="A309">
        <v>1998</v>
      </c>
      <c r="B309" t="s">
        <v>10</v>
      </c>
      <c r="C309">
        <v>30</v>
      </c>
      <c r="D309">
        <v>450</v>
      </c>
      <c r="E309">
        <v>71</v>
      </c>
      <c r="F309">
        <v>122</v>
      </c>
      <c r="G309">
        <v>3.13</v>
      </c>
    </row>
    <row r="310" spans="1:7" x14ac:dyDescent="0.25">
      <c r="A310">
        <v>1998</v>
      </c>
      <c r="B310" t="s">
        <v>81</v>
      </c>
      <c r="C310">
        <v>30</v>
      </c>
      <c r="D310">
        <v>199</v>
      </c>
      <c r="E310">
        <v>57</v>
      </c>
      <c r="F310">
        <v>118</v>
      </c>
      <c r="G310">
        <v>1.93</v>
      </c>
    </row>
    <row r="311" spans="1:7" x14ac:dyDescent="0.25">
      <c r="A311">
        <v>1998</v>
      </c>
      <c r="B311" t="s">
        <v>12</v>
      </c>
      <c r="C311">
        <v>40</v>
      </c>
      <c r="D311">
        <v>87</v>
      </c>
      <c r="E311">
        <v>40</v>
      </c>
      <c r="F311">
        <v>85</v>
      </c>
      <c r="G311">
        <v>1.45</v>
      </c>
    </row>
    <row r="312" spans="1:7" x14ac:dyDescent="0.25">
      <c r="A312">
        <v>1998</v>
      </c>
      <c r="B312" t="s">
        <v>13</v>
      </c>
      <c r="C312">
        <v>15</v>
      </c>
      <c r="D312">
        <v>470</v>
      </c>
      <c r="E312">
        <v>96</v>
      </c>
      <c r="F312">
        <v>124</v>
      </c>
      <c r="G312">
        <v>3.07</v>
      </c>
    </row>
    <row r="313" spans="1:7" x14ac:dyDescent="0.25">
      <c r="A313">
        <v>1998</v>
      </c>
      <c r="B313" t="s">
        <v>166</v>
      </c>
      <c r="C313">
        <v>40</v>
      </c>
      <c r="D313">
        <v>367</v>
      </c>
      <c r="E313">
        <v>70</v>
      </c>
      <c r="F313">
        <v>121</v>
      </c>
      <c r="G313">
        <v>2.65</v>
      </c>
    </row>
    <row r="314" spans="1:7" x14ac:dyDescent="0.25">
      <c r="A314">
        <v>1998</v>
      </c>
      <c r="B314" t="s">
        <v>121</v>
      </c>
      <c r="C314">
        <v>15</v>
      </c>
      <c r="D314">
        <v>581</v>
      </c>
      <c r="E314">
        <v>93</v>
      </c>
      <c r="F314">
        <v>117</v>
      </c>
      <c r="G314">
        <v>3.33</v>
      </c>
    </row>
    <row r="315" spans="1:7" x14ac:dyDescent="0.25">
      <c r="A315">
        <v>1998</v>
      </c>
      <c r="B315" t="s">
        <v>15</v>
      </c>
      <c r="C315">
        <v>50</v>
      </c>
      <c r="D315">
        <v>1867</v>
      </c>
      <c r="E315">
        <v>95</v>
      </c>
      <c r="F315">
        <v>139</v>
      </c>
      <c r="G315">
        <v>3.12</v>
      </c>
    </row>
    <row r="316" spans="1:7" x14ac:dyDescent="0.25">
      <c r="A316">
        <v>1998</v>
      </c>
      <c r="B316" t="s">
        <v>16</v>
      </c>
      <c r="C316">
        <v>45</v>
      </c>
      <c r="D316">
        <v>2575</v>
      </c>
      <c r="E316">
        <v>93</v>
      </c>
      <c r="F316">
        <v>136</v>
      </c>
      <c r="G316">
        <v>3.11</v>
      </c>
    </row>
    <row r="317" spans="1:7" x14ac:dyDescent="0.25">
      <c r="A317">
        <v>1998</v>
      </c>
      <c r="B317" t="s">
        <v>122</v>
      </c>
      <c r="C317">
        <v>20</v>
      </c>
      <c r="D317">
        <v>525</v>
      </c>
      <c r="E317">
        <v>86</v>
      </c>
      <c r="F317">
        <v>119</v>
      </c>
      <c r="G317">
        <v>3.25</v>
      </c>
    </row>
    <row r="318" spans="1:7" x14ac:dyDescent="0.25">
      <c r="A318">
        <v>1998</v>
      </c>
      <c r="B318" t="s">
        <v>18</v>
      </c>
      <c r="C318">
        <v>20</v>
      </c>
      <c r="D318">
        <v>677</v>
      </c>
      <c r="E318">
        <v>82</v>
      </c>
      <c r="F318">
        <v>109</v>
      </c>
      <c r="G318">
        <v>3</v>
      </c>
    </row>
    <row r="319" spans="1:7" x14ac:dyDescent="0.25">
      <c r="A319">
        <v>1998</v>
      </c>
      <c r="B319" t="s">
        <v>19</v>
      </c>
      <c r="C319">
        <v>25</v>
      </c>
      <c r="D319">
        <v>1282</v>
      </c>
      <c r="E319">
        <v>84</v>
      </c>
      <c r="F319">
        <v>127</v>
      </c>
      <c r="G319">
        <v>3.2</v>
      </c>
    </row>
    <row r="320" spans="1:7" x14ac:dyDescent="0.25">
      <c r="A320">
        <v>1998</v>
      </c>
      <c r="B320" t="s">
        <v>20</v>
      </c>
      <c r="C320">
        <v>200</v>
      </c>
      <c r="D320">
        <v>1319</v>
      </c>
      <c r="E320">
        <v>67</v>
      </c>
      <c r="F320">
        <v>118</v>
      </c>
      <c r="G320">
        <v>2.1800000000000002</v>
      </c>
    </row>
    <row r="321" spans="1:7" x14ac:dyDescent="0.25">
      <c r="A321">
        <v>1998</v>
      </c>
      <c r="B321" t="s">
        <v>21</v>
      </c>
      <c r="C321">
        <v>40</v>
      </c>
      <c r="D321">
        <v>193</v>
      </c>
      <c r="E321">
        <v>59</v>
      </c>
      <c r="F321">
        <v>121</v>
      </c>
      <c r="G321">
        <v>1.83</v>
      </c>
    </row>
    <row r="322" spans="1:7" x14ac:dyDescent="0.25">
      <c r="A322">
        <v>1998</v>
      </c>
      <c r="B322" t="s">
        <v>22</v>
      </c>
      <c r="C322">
        <v>160</v>
      </c>
      <c r="D322">
        <v>563</v>
      </c>
      <c r="E322">
        <v>63</v>
      </c>
      <c r="F322">
        <v>135</v>
      </c>
      <c r="G322">
        <v>1.4</v>
      </c>
    </row>
    <row r="323" spans="1:7" x14ac:dyDescent="0.25">
      <c r="A323">
        <v>1998</v>
      </c>
      <c r="B323" t="s">
        <v>23</v>
      </c>
      <c r="C323">
        <v>160</v>
      </c>
      <c r="D323">
        <v>798</v>
      </c>
      <c r="E323">
        <v>61</v>
      </c>
      <c r="F323">
        <v>124</v>
      </c>
      <c r="G323">
        <v>1.75</v>
      </c>
    </row>
    <row r="324" spans="1:7" x14ac:dyDescent="0.25">
      <c r="A324">
        <v>1998</v>
      </c>
      <c r="B324" t="s">
        <v>24</v>
      </c>
      <c r="C324">
        <v>260</v>
      </c>
      <c r="D324">
        <v>1675</v>
      </c>
      <c r="E324">
        <v>64</v>
      </c>
      <c r="F324">
        <v>124</v>
      </c>
      <c r="G324">
        <v>1.98</v>
      </c>
    </row>
    <row r="325" spans="1:7" x14ac:dyDescent="0.25">
      <c r="A325">
        <v>1998</v>
      </c>
      <c r="B325" t="s">
        <v>25</v>
      </c>
      <c r="C325">
        <v>808</v>
      </c>
      <c r="D325">
        <v>4302</v>
      </c>
      <c r="E325">
        <v>60</v>
      </c>
      <c r="F325">
        <v>131</v>
      </c>
      <c r="G325">
        <v>1.75</v>
      </c>
    </row>
    <row r="326" spans="1:7" x14ac:dyDescent="0.25">
      <c r="A326">
        <v>1998</v>
      </c>
      <c r="B326" t="s">
        <v>167</v>
      </c>
      <c r="C326">
        <v>40</v>
      </c>
      <c r="D326">
        <v>293</v>
      </c>
      <c r="E326">
        <v>56</v>
      </c>
      <c r="F326">
        <v>112</v>
      </c>
      <c r="G326">
        <v>2.2000000000000002</v>
      </c>
    </row>
    <row r="327" spans="1:7" x14ac:dyDescent="0.25">
      <c r="A327">
        <v>1998</v>
      </c>
      <c r="B327" t="s">
        <v>124</v>
      </c>
      <c r="C327">
        <v>200</v>
      </c>
      <c r="D327">
        <v>5021</v>
      </c>
      <c r="E327">
        <v>88</v>
      </c>
      <c r="F327">
        <v>132</v>
      </c>
      <c r="G327">
        <v>3.14</v>
      </c>
    </row>
    <row r="328" spans="1:7" x14ac:dyDescent="0.25">
      <c r="A328">
        <v>1998</v>
      </c>
      <c r="B328" t="s">
        <v>27</v>
      </c>
      <c r="C328">
        <v>40</v>
      </c>
      <c r="D328">
        <v>740</v>
      </c>
      <c r="E328">
        <v>80</v>
      </c>
      <c r="F328">
        <v>124</v>
      </c>
      <c r="G328">
        <v>3.1</v>
      </c>
    </row>
    <row r="329" spans="1:7" x14ac:dyDescent="0.25">
      <c r="A329">
        <v>1998</v>
      </c>
      <c r="B329" t="s">
        <v>28</v>
      </c>
      <c r="C329">
        <v>140</v>
      </c>
      <c r="D329">
        <v>1708</v>
      </c>
      <c r="E329">
        <v>65</v>
      </c>
      <c r="F329">
        <v>121</v>
      </c>
      <c r="G329">
        <v>2.96</v>
      </c>
    </row>
    <row r="330" spans="1:7" x14ac:dyDescent="0.25">
      <c r="A330">
        <v>1998</v>
      </c>
      <c r="B330" t="s">
        <v>29</v>
      </c>
      <c r="C330">
        <v>40</v>
      </c>
      <c r="D330">
        <v>282</v>
      </c>
      <c r="E330">
        <v>62</v>
      </c>
      <c r="F330">
        <v>103</v>
      </c>
      <c r="G330">
        <v>2.15</v>
      </c>
    </row>
    <row r="331" spans="1:7" x14ac:dyDescent="0.25">
      <c r="A331">
        <v>1998</v>
      </c>
      <c r="B331" t="s">
        <v>30</v>
      </c>
      <c r="C331">
        <v>180</v>
      </c>
      <c r="D331">
        <v>2236</v>
      </c>
      <c r="E331">
        <v>81</v>
      </c>
      <c r="F331">
        <v>132</v>
      </c>
      <c r="G331">
        <v>3.01</v>
      </c>
    </row>
    <row r="332" spans="1:7" x14ac:dyDescent="0.25">
      <c r="A332">
        <v>1998</v>
      </c>
      <c r="B332" t="s">
        <v>31</v>
      </c>
      <c r="C332">
        <v>40</v>
      </c>
      <c r="D332">
        <v>360</v>
      </c>
      <c r="E332">
        <v>71</v>
      </c>
      <c r="F332">
        <v>117</v>
      </c>
      <c r="G332">
        <v>2.8</v>
      </c>
    </row>
    <row r="333" spans="1:7" x14ac:dyDescent="0.25">
      <c r="A333">
        <v>1998</v>
      </c>
      <c r="B333" t="s">
        <v>168</v>
      </c>
      <c r="C333">
        <v>150</v>
      </c>
      <c r="D333">
        <v>2856</v>
      </c>
      <c r="E333">
        <v>84</v>
      </c>
      <c r="F333">
        <v>136</v>
      </c>
      <c r="G333">
        <v>3.11</v>
      </c>
    </row>
    <row r="334" spans="1:7" x14ac:dyDescent="0.25">
      <c r="A334">
        <v>1998</v>
      </c>
      <c r="B334" t="s">
        <v>33</v>
      </c>
      <c r="C334">
        <v>30</v>
      </c>
      <c r="D334">
        <v>570</v>
      </c>
      <c r="E334">
        <v>82</v>
      </c>
      <c r="F334">
        <v>121</v>
      </c>
      <c r="G334">
        <v>3.13</v>
      </c>
    </row>
    <row r="335" spans="1:7" x14ac:dyDescent="0.25">
      <c r="A335">
        <v>1998</v>
      </c>
      <c r="B335" t="s">
        <v>34</v>
      </c>
      <c r="C335">
        <v>450</v>
      </c>
      <c r="D335">
        <v>13520</v>
      </c>
      <c r="E335">
        <v>93</v>
      </c>
      <c r="F335">
        <v>145</v>
      </c>
      <c r="G335">
        <v>3.12</v>
      </c>
    </row>
    <row r="336" spans="1:7" x14ac:dyDescent="0.25">
      <c r="A336">
        <v>1998</v>
      </c>
      <c r="B336" t="s">
        <v>35</v>
      </c>
      <c r="C336">
        <v>120</v>
      </c>
      <c r="D336">
        <v>1693</v>
      </c>
      <c r="E336">
        <v>56</v>
      </c>
      <c r="F336">
        <v>122</v>
      </c>
      <c r="G336">
        <v>2.93</v>
      </c>
    </row>
    <row r="337" spans="1:7" x14ac:dyDescent="0.25">
      <c r="A337">
        <v>1998</v>
      </c>
      <c r="B337" t="s">
        <v>36</v>
      </c>
      <c r="C337">
        <v>50</v>
      </c>
      <c r="D337">
        <v>294</v>
      </c>
      <c r="E337">
        <v>49</v>
      </c>
      <c r="F337">
        <v>92</v>
      </c>
      <c r="G337">
        <v>2</v>
      </c>
    </row>
    <row r="338" spans="1:7" x14ac:dyDescent="0.25">
      <c r="A338">
        <v>1998</v>
      </c>
      <c r="B338" t="s">
        <v>169</v>
      </c>
      <c r="C338">
        <v>160</v>
      </c>
      <c r="D338">
        <v>4860</v>
      </c>
      <c r="E338">
        <v>65</v>
      </c>
      <c r="F338">
        <v>119</v>
      </c>
      <c r="G338">
        <v>3.23</v>
      </c>
    </row>
    <row r="339" spans="1:7" x14ac:dyDescent="0.25">
      <c r="A339">
        <v>1998</v>
      </c>
      <c r="B339" t="s">
        <v>170</v>
      </c>
      <c r="C339">
        <v>40</v>
      </c>
      <c r="D339">
        <v>1890</v>
      </c>
      <c r="E339">
        <v>60</v>
      </c>
      <c r="F339">
        <v>107</v>
      </c>
      <c r="G339">
        <v>3.18</v>
      </c>
    </row>
    <row r="340" spans="1:7" x14ac:dyDescent="0.25">
      <c r="A340">
        <v>1998</v>
      </c>
      <c r="B340" t="s">
        <v>171</v>
      </c>
      <c r="C340">
        <v>20</v>
      </c>
      <c r="D340">
        <v>239</v>
      </c>
      <c r="E340">
        <v>72</v>
      </c>
      <c r="F340">
        <v>121</v>
      </c>
      <c r="G340">
        <v>3</v>
      </c>
    </row>
    <row r="341" spans="1:7" x14ac:dyDescent="0.25">
      <c r="A341">
        <v>1998</v>
      </c>
      <c r="B341" t="s">
        <v>172</v>
      </c>
      <c r="C341">
        <v>600</v>
      </c>
      <c r="D341">
        <v>7577</v>
      </c>
      <c r="E341">
        <v>64</v>
      </c>
      <c r="F341">
        <v>114</v>
      </c>
      <c r="G341">
        <v>2.82</v>
      </c>
    </row>
    <row r="342" spans="1:7" x14ac:dyDescent="0.25">
      <c r="A342">
        <v>1998</v>
      </c>
      <c r="B342" t="s">
        <v>38</v>
      </c>
      <c r="C342">
        <v>180</v>
      </c>
      <c r="D342">
        <v>2574</v>
      </c>
      <c r="E342">
        <v>78</v>
      </c>
      <c r="F342">
        <v>134</v>
      </c>
      <c r="G342">
        <v>3.19</v>
      </c>
    </row>
    <row r="343" spans="1:7" x14ac:dyDescent="0.25">
      <c r="A343">
        <v>1998</v>
      </c>
      <c r="B343" t="s">
        <v>173</v>
      </c>
      <c r="C343">
        <v>25</v>
      </c>
      <c r="D343">
        <v>530</v>
      </c>
      <c r="E343">
        <v>90</v>
      </c>
      <c r="F343">
        <v>130</v>
      </c>
      <c r="G343">
        <v>3.4</v>
      </c>
    </row>
    <row r="344" spans="1:7" x14ac:dyDescent="0.25">
      <c r="A344">
        <v>1998</v>
      </c>
      <c r="B344" t="s">
        <v>40</v>
      </c>
      <c r="C344">
        <v>40</v>
      </c>
      <c r="D344">
        <v>437</v>
      </c>
      <c r="E344">
        <v>74</v>
      </c>
      <c r="F344">
        <v>120</v>
      </c>
      <c r="G344">
        <v>3.05</v>
      </c>
    </row>
    <row r="345" spans="1:7" x14ac:dyDescent="0.25">
      <c r="A345">
        <v>1998</v>
      </c>
      <c r="B345" t="s">
        <v>41</v>
      </c>
      <c r="C345">
        <v>190</v>
      </c>
      <c r="D345">
        <v>1846</v>
      </c>
      <c r="E345">
        <v>58</v>
      </c>
      <c r="F345">
        <v>111</v>
      </c>
      <c r="G345">
        <v>2.4</v>
      </c>
    </row>
    <row r="346" spans="1:7" x14ac:dyDescent="0.25">
      <c r="A346">
        <v>1998</v>
      </c>
      <c r="B346" t="s">
        <v>42</v>
      </c>
      <c r="C346">
        <v>80</v>
      </c>
      <c r="D346">
        <v>700</v>
      </c>
      <c r="E346">
        <v>58</v>
      </c>
      <c r="F346">
        <v>104</v>
      </c>
      <c r="G346">
        <v>2.34</v>
      </c>
    </row>
    <row r="347" spans="1:7" x14ac:dyDescent="0.25">
      <c r="A347">
        <v>1998</v>
      </c>
      <c r="B347" t="s">
        <v>43</v>
      </c>
      <c r="C347">
        <v>135</v>
      </c>
      <c r="D347">
        <v>1919</v>
      </c>
      <c r="E347">
        <v>78</v>
      </c>
      <c r="F347">
        <v>125</v>
      </c>
      <c r="G347">
        <v>3.02</v>
      </c>
    </row>
    <row r="348" spans="1:7" x14ac:dyDescent="0.25">
      <c r="A348">
        <v>1998</v>
      </c>
      <c r="B348" t="s">
        <v>44</v>
      </c>
      <c r="C348">
        <v>50</v>
      </c>
      <c r="D348">
        <v>839</v>
      </c>
      <c r="E348">
        <v>83</v>
      </c>
      <c r="F348">
        <v>115</v>
      </c>
      <c r="G348">
        <v>3.16</v>
      </c>
    </row>
    <row r="349" spans="1:7" x14ac:dyDescent="0.25">
      <c r="A349">
        <v>1998</v>
      </c>
      <c r="B349" t="s">
        <v>45</v>
      </c>
      <c r="C349">
        <v>485</v>
      </c>
      <c r="D349">
        <v>13087</v>
      </c>
      <c r="E349">
        <v>109</v>
      </c>
      <c r="F349">
        <v>146</v>
      </c>
      <c r="G349">
        <v>3.1</v>
      </c>
    </row>
    <row r="350" spans="1:7" x14ac:dyDescent="0.25">
      <c r="A350">
        <v>1998</v>
      </c>
      <c r="B350" t="s">
        <v>46</v>
      </c>
      <c r="C350">
        <v>80</v>
      </c>
      <c r="D350">
        <v>2358</v>
      </c>
      <c r="E350">
        <v>86</v>
      </c>
      <c r="F350">
        <v>123</v>
      </c>
      <c r="G350">
        <v>3.11</v>
      </c>
    </row>
    <row r="351" spans="1:7" x14ac:dyDescent="0.25">
      <c r="A351">
        <v>1998</v>
      </c>
      <c r="B351" t="s">
        <v>174</v>
      </c>
      <c r="C351">
        <v>30</v>
      </c>
      <c r="D351">
        <v>332</v>
      </c>
      <c r="E351">
        <v>63</v>
      </c>
      <c r="F351">
        <v>107</v>
      </c>
      <c r="G351">
        <v>2.7</v>
      </c>
    </row>
    <row r="352" spans="1:7" x14ac:dyDescent="0.25">
      <c r="A352">
        <v>1998</v>
      </c>
      <c r="B352" t="s">
        <v>48</v>
      </c>
      <c r="C352">
        <v>133</v>
      </c>
      <c r="D352">
        <v>3243</v>
      </c>
      <c r="E352">
        <v>85</v>
      </c>
      <c r="F352">
        <v>127</v>
      </c>
      <c r="G352">
        <v>3.18</v>
      </c>
    </row>
    <row r="353" spans="1:7" x14ac:dyDescent="0.25">
      <c r="A353">
        <v>1998</v>
      </c>
      <c r="B353" t="s">
        <v>49</v>
      </c>
      <c r="C353">
        <v>80</v>
      </c>
      <c r="D353">
        <v>1624</v>
      </c>
      <c r="E353">
        <v>82</v>
      </c>
      <c r="F353">
        <v>117</v>
      </c>
      <c r="G353">
        <v>3.14</v>
      </c>
    </row>
    <row r="354" spans="1:7" x14ac:dyDescent="0.25">
      <c r="A354">
        <v>1998</v>
      </c>
      <c r="B354" t="s">
        <v>50</v>
      </c>
      <c r="C354">
        <v>50</v>
      </c>
      <c r="D354">
        <v>739</v>
      </c>
      <c r="E354">
        <v>84</v>
      </c>
      <c r="F354">
        <v>129</v>
      </c>
      <c r="G354">
        <v>3.16</v>
      </c>
    </row>
    <row r="355" spans="1:7" x14ac:dyDescent="0.25">
      <c r="A355">
        <v>1998</v>
      </c>
      <c r="B355" t="s">
        <v>152</v>
      </c>
      <c r="C355">
        <v>25</v>
      </c>
      <c r="D355">
        <v>302</v>
      </c>
      <c r="E355">
        <v>65</v>
      </c>
      <c r="F355">
        <v>100</v>
      </c>
      <c r="G355">
        <v>3</v>
      </c>
    </row>
    <row r="356" spans="1:7" x14ac:dyDescent="0.25">
      <c r="A356">
        <v>1998</v>
      </c>
      <c r="B356" t="s">
        <v>175</v>
      </c>
      <c r="C356">
        <v>33</v>
      </c>
      <c r="D356">
        <v>483</v>
      </c>
      <c r="E356">
        <v>64</v>
      </c>
      <c r="F356">
        <v>107</v>
      </c>
      <c r="G356">
        <v>3.12</v>
      </c>
    </row>
    <row r="357" spans="1:7" x14ac:dyDescent="0.25">
      <c r="A357">
        <v>1998</v>
      </c>
      <c r="B357" t="s">
        <v>176</v>
      </c>
      <c r="C357">
        <v>25</v>
      </c>
      <c r="D357">
        <v>255</v>
      </c>
      <c r="E357">
        <v>65</v>
      </c>
      <c r="F357">
        <v>109</v>
      </c>
      <c r="G357">
        <v>2.92</v>
      </c>
    </row>
    <row r="358" spans="1:7" x14ac:dyDescent="0.25">
      <c r="A358">
        <v>1998</v>
      </c>
      <c r="B358" t="s">
        <v>177</v>
      </c>
      <c r="C358">
        <v>30</v>
      </c>
      <c r="D358">
        <v>148</v>
      </c>
      <c r="E358">
        <v>63</v>
      </c>
      <c r="F358">
        <v>94</v>
      </c>
      <c r="G358">
        <v>1.73</v>
      </c>
    </row>
    <row r="359" spans="1:7" x14ac:dyDescent="0.25">
      <c r="A359">
        <v>1998</v>
      </c>
      <c r="B359" t="s">
        <v>156</v>
      </c>
      <c r="C359">
        <v>25</v>
      </c>
      <c r="D359">
        <v>1296</v>
      </c>
      <c r="E359">
        <v>92</v>
      </c>
      <c r="F359">
        <v>130</v>
      </c>
      <c r="G359">
        <v>3.08</v>
      </c>
    </row>
    <row r="360" spans="1:7" x14ac:dyDescent="0.25">
      <c r="A360">
        <v>1998</v>
      </c>
      <c r="B360" t="s">
        <v>178</v>
      </c>
      <c r="C360">
        <v>40</v>
      </c>
      <c r="D360">
        <v>1475</v>
      </c>
      <c r="E360">
        <v>87</v>
      </c>
      <c r="F360">
        <v>121</v>
      </c>
      <c r="G360">
        <v>3</v>
      </c>
    </row>
    <row r="361" spans="1:7" x14ac:dyDescent="0.25">
      <c r="A361">
        <v>1998</v>
      </c>
      <c r="B361" t="s">
        <v>158</v>
      </c>
      <c r="C361">
        <v>55</v>
      </c>
      <c r="D361">
        <v>983</v>
      </c>
      <c r="E361">
        <v>69</v>
      </c>
      <c r="F361">
        <v>114</v>
      </c>
      <c r="G361">
        <v>3.16</v>
      </c>
    </row>
    <row r="362" spans="1:7" x14ac:dyDescent="0.25">
      <c r="A362">
        <v>1998</v>
      </c>
      <c r="B362" t="s">
        <v>159</v>
      </c>
      <c r="C362">
        <v>40</v>
      </c>
      <c r="D362">
        <v>1226</v>
      </c>
      <c r="E362">
        <v>79</v>
      </c>
      <c r="F362">
        <v>118</v>
      </c>
      <c r="G362">
        <v>3.05</v>
      </c>
    </row>
    <row r="363" spans="1:7" x14ac:dyDescent="0.25">
      <c r="A363">
        <v>1998</v>
      </c>
      <c r="B363" t="s">
        <v>58</v>
      </c>
      <c r="C363">
        <v>70</v>
      </c>
      <c r="D363">
        <v>1874</v>
      </c>
      <c r="E363">
        <v>82</v>
      </c>
      <c r="F363">
        <v>125</v>
      </c>
      <c r="G363">
        <v>3.16</v>
      </c>
    </row>
    <row r="364" spans="1:7" x14ac:dyDescent="0.25">
      <c r="A364">
        <v>1998</v>
      </c>
      <c r="B364" t="s">
        <v>179</v>
      </c>
      <c r="C364">
        <v>80</v>
      </c>
      <c r="D364">
        <v>1607</v>
      </c>
      <c r="E364">
        <v>75</v>
      </c>
      <c r="F364">
        <v>118</v>
      </c>
      <c r="G364">
        <v>3.29</v>
      </c>
    </row>
    <row r="365" spans="1:7" x14ac:dyDescent="0.25">
      <c r="A365">
        <v>1998</v>
      </c>
      <c r="B365" t="s">
        <v>134</v>
      </c>
      <c r="C365">
        <v>50</v>
      </c>
      <c r="D365">
        <v>1214</v>
      </c>
      <c r="E365">
        <v>65</v>
      </c>
      <c r="F365">
        <v>130</v>
      </c>
      <c r="G365">
        <v>3.14</v>
      </c>
    </row>
    <row r="366" spans="1:7" x14ac:dyDescent="0.25">
      <c r="A366">
        <v>1998</v>
      </c>
      <c r="B366" t="s">
        <v>60</v>
      </c>
      <c r="C366">
        <v>50</v>
      </c>
      <c r="D366">
        <v>754</v>
      </c>
      <c r="E366">
        <v>68</v>
      </c>
      <c r="F366">
        <v>119</v>
      </c>
      <c r="G366">
        <v>3.1</v>
      </c>
    </row>
    <row r="367" spans="1:7" x14ac:dyDescent="0.25">
      <c r="A367">
        <v>1998</v>
      </c>
      <c r="B367" t="s">
        <v>61</v>
      </c>
      <c r="C367">
        <v>40</v>
      </c>
      <c r="D367">
        <v>481</v>
      </c>
      <c r="E367">
        <v>56</v>
      </c>
      <c r="F367">
        <v>90</v>
      </c>
      <c r="G367">
        <v>2.6</v>
      </c>
    </row>
    <row r="368" spans="1:7" x14ac:dyDescent="0.25">
      <c r="A368">
        <v>1998</v>
      </c>
      <c r="B368" t="s">
        <v>180</v>
      </c>
      <c r="C368">
        <v>200</v>
      </c>
      <c r="D368">
        <v>1398</v>
      </c>
      <c r="E368">
        <v>65</v>
      </c>
      <c r="F368">
        <v>132</v>
      </c>
      <c r="G368">
        <v>2.2000000000000002</v>
      </c>
    </row>
    <row r="369" spans="1:7" x14ac:dyDescent="0.25">
      <c r="A369">
        <v>1998</v>
      </c>
      <c r="B369" t="s">
        <v>181</v>
      </c>
      <c r="C369">
        <v>40</v>
      </c>
      <c r="D369">
        <v>142</v>
      </c>
      <c r="E369">
        <v>51</v>
      </c>
      <c r="F369">
        <v>88</v>
      </c>
      <c r="G369">
        <v>1.48</v>
      </c>
    </row>
    <row r="370" spans="1:7" x14ac:dyDescent="0.25">
      <c r="A370">
        <v>1998</v>
      </c>
      <c r="B370" t="s">
        <v>182</v>
      </c>
      <c r="C370">
        <v>40</v>
      </c>
      <c r="D370">
        <v>242</v>
      </c>
      <c r="E370">
        <v>58</v>
      </c>
      <c r="F370">
        <v>118</v>
      </c>
      <c r="G370">
        <v>1.93</v>
      </c>
    </row>
    <row r="371" spans="1:7" x14ac:dyDescent="0.25">
      <c r="A371">
        <v>1998</v>
      </c>
      <c r="B371" t="s">
        <v>183</v>
      </c>
      <c r="C371">
        <v>600</v>
      </c>
      <c r="D371">
        <v>7966</v>
      </c>
      <c r="E371">
        <v>64</v>
      </c>
      <c r="F371">
        <v>122</v>
      </c>
      <c r="G371">
        <v>3.01</v>
      </c>
    </row>
    <row r="372" spans="1:7" x14ac:dyDescent="0.25">
      <c r="A372">
        <v>1998</v>
      </c>
      <c r="B372" t="s">
        <v>65</v>
      </c>
      <c r="C372">
        <v>874</v>
      </c>
      <c r="D372">
        <v>10204</v>
      </c>
      <c r="E372">
        <v>82</v>
      </c>
      <c r="F372">
        <v>144</v>
      </c>
      <c r="G372">
        <v>3.06</v>
      </c>
    </row>
    <row r="373" spans="1:7" x14ac:dyDescent="0.25">
      <c r="A373">
        <v>1998</v>
      </c>
      <c r="B373" t="s">
        <v>184</v>
      </c>
      <c r="C373">
        <v>130</v>
      </c>
      <c r="D373">
        <v>1346</v>
      </c>
      <c r="E373">
        <v>80</v>
      </c>
      <c r="F373">
        <v>137</v>
      </c>
      <c r="G373">
        <v>3.05</v>
      </c>
    </row>
    <row r="374" spans="1:7" x14ac:dyDescent="0.25">
      <c r="A374">
        <v>1998</v>
      </c>
      <c r="B374" t="s">
        <v>185</v>
      </c>
      <c r="C374">
        <v>60</v>
      </c>
      <c r="D374">
        <v>476</v>
      </c>
      <c r="E374">
        <v>73</v>
      </c>
      <c r="F374">
        <v>118</v>
      </c>
      <c r="G374">
        <v>2.38</v>
      </c>
    </row>
    <row r="375" spans="1:7" x14ac:dyDescent="0.25">
      <c r="A375">
        <v>1998</v>
      </c>
      <c r="B375" t="s">
        <v>68</v>
      </c>
      <c r="C375">
        <v>230</v>
      </c>
      <c r="D375">
        <v>1793</v>
      </c>
      <c r="E375">
        <v>78</v>
      </c>
      <c r="F375">
        <v>131</v>
      </c>
      <c r="G375">
        <v>2.6</v>
      </c>
    </row>
    <row r="376" spans="1:7" x14ac:dyDescent="0.25">
      <c r="A376">
        <v>1998</v>
      </c>
      <c r="B376" t="s">
        <v>186</v>
      </c>
      <c r="C376">
        <v>50</v>
      </c>
      <c r="D376">
        <v>314</v>
      </c>
      <c r="E376">
        <v>68</v>
      </c>
      <c r="F376">
        <v>108</v>
      </c>
      <c r="G376">
        <v>2.12</v>
      </c>
    </row>
    <row r="377" spans="1:7" x14ac:dyDescent="0.25">
      <c r="A377">
        <v>1998</v>
      </c>
      <c r="B377" t="s">
        <v>187</v>
      </c>
      <c r="C377">
        <v>40</v>
      </c>
      <c r="D377">
        <v>137</v>
      </c>
      <c r="E377">
        <v>50</v>
      </c>
      <c r="F377">
        <v>105</v>
      </c>
      <c r="G377">
        <v>1.65</v>
      </c>
    </row>
    <row r="378" spans="1:7" x14ac:dyDescent="0.25">
      <c r="A378">
        <v>1998</v>
      </c>
      <c r="B378" t="s">
        <v>188</v>
      </c>
      <c r="C378">
        <v>130</v>
      </c>
      <c r="D378">
        <v>493</v>
      </c>
      <c r="E378">
        <v>53</v>
      </c>
      <c r="F378">
        <v>118</v>
      </c>
      <c r="G378">
        <v>1.6</v>
      </c>
    </row>
    <row r="379" spans="1:7" x14ac:dyDescent="0.25">
      <c r="A379">
        <v>1998</v>
      </c>
      <c r="B379" t="s">
        <v>72</v>
      </c>
      <c r="C379">
        <v>100</v>
      </c>
      <c r="D379">
        <v>1487</v>
      </c>
      <c r="E379">
        <v>76</v>
      </c>
      <c r="F379">
        <v>135</v>
      </c>
      <c r="G379">
        <v>3.02</v>
      </c>
    </row>
    <row r="380" spans="1:7" x14ac:dyDescent="0.25">
      <c r="A380">
        <v>1998</v>
      </c>
      <c r="B380" t="s">
        <v>73</v>
      </c>
      <c r="C380">
        <v>250</v>
      </c>
      <c r="D380">
        <v>1155</v>
      </c>
      <c r="E380">
        <v>59</v>
      </c>
      <c r="F380">
        <v>140</v>
      </c>
      <c r="G380">
        <v>1.59</v>
      </c>
    </row>
    <row r="381" spans="1:7" x14ac:dyDescent="0.25">
      <c r="A381">
        <v>1998</v>
      </c>
      <c r="B381" t="s">
        <v>74</v>
      </c>
      <c r="C381">
        <v>270</v>
      </c>
      <c r="D381">
        <v>955</v>
      </c>
      <c r="E381">
        <v>66</v>
      </c>
      <c r="F381">
        <v>133</v>
      </c>
      <c r="G381">
        <v>1.55</v>
      </c>
    </row>
    <row r="382" spans="1:7" x14ac:dyDescent="0.25">
      <c r="A382">
        <v>1998</v>
      </c>
      <c r="B382" t="s">
        <v>143</v>
      </c>
      <c r="C382">
        <v>60</v>
      </c>
      <c r="D382">
        <v>378</v>
      </c>
      <c r="E382">
        <v>70</v>
      </c>
      <c r="F382">
        <v>123</v>
      </c>
      <c r="G382">
        <v>2.17</v>
      </c>
    </row>
    <row r="383" spans="1:7" x14ac:dyDescent="0.25">
      <c r="A383">
        <v>1998</v>
      </c>
      <c r="B383" t="s">
        <v>115</v>
      </c>
      <c r="C383">
        <v>50</v>
      </c>
      <c r="D383">
        <v>226</v>
      </c>
      <c r="E383">
        <v>60</v>
      </c>
      <c r="F383">
        <v>100</v>
      </c>
      <c r="G383">
        <v>1.74</v>
      </c>
    </row>
    <row r="384" spans="1:7" x14ac:dyDescent="0.25">
      <c r="A384">
        <v>1998</v>
      </c>
      <c r="B384" t="s">
        <v>189</v>
      </c>
      <c r="C384">
        <v>40</v>
      </c>
      <c r="D384">
        <v>245</v>
      </c>
      <c r="E384">
        <v>65</v>
      </c>
      <c r="F384">
        <v>123</v>
      </c>
      <c r="G384">
        <v>2</v>
      </c>
    </row>
    <row r="385" spans="1:7" x14ac:dyDescent="0.25">
      <c r="A385">
        <v>1998</v>
      </c>
      <c r="B385" t="s">
        <v>190</v>
      </c>
      <c r="C385">
        <v>50</v>
      </c>
      <c r="D385">
        <v>162</v>
      </c>
      <c r="E385">
        <v>57</v>
      </c>
      <c r="F385">
        <v>98</v>
      </c>
      <c r="G385">
        <v>1.42</v>
      </c>
    </row>
    <row r="386" spans="1:7" x14ac:dyDescent="0.25">
      <c r="A386">
        <v>1998</v>
      </c>
      <c r="B386" t="s">
        <v>147</v>
      </c>
      <c r="C386">
        <v>70</v>
      </c>
      <c r="D386">
        <v>328</v>
      </c>
      <c r="E386">
        <v>64</v>
      </c>
      <c r="F386">
        <v>127</v>
      </c>
      <c r="G386">
        <v>1.63</v>
      </c>
    </row>
    <row r="387" spans="1:7" x14ac:dyDescent="0.25">
      <c r="A387">
        <v>1998</v>
      </c>
      <c r="B387" t="s">
        <v>191</v>
      </c>
      <c r="C387">
        <v>600</v>
      </c>
      <c r="D387">
        <v>3790</v>
      </c>
      <c r="E387">
        <v>65</v>
      </c>
      <c r="F387">
        <v>145</v>
      </c>
      <c r="G387">
        <v>2.09</v>
      </c>
    </row>
    <row r="388" spans="1:7" x14ac:dyDescent="0.25">
      <c r="A388">
        <v>1999</v>
      </c>
      <c r="B388" t="s">
        <v>80</v>
      </c>
      <c r="C388">
        <v>30</v>
      </c>
      <c r="D388">
        <v>338</v>
      </c>
      <c r="E388">
        <v>65</v>
      </c>
      <c r="F388">
        <v>117</v>
      </c>
      <c r="G388">
        <v>2.83</v>
      </c>
    </row>
    <row r="389" spans="1:7" x14ac:dyDescent="0.25">
      <c r="A389">
        <v>1999</v>
      </c>
      <c r="B389" t="s">
        <v>148</v>
      </c>
      <c r="C389">
        <v>15</v>
      </c>
      <c r="D389">
        <v>445</v>
      </c>
      <c r="E389">
        <v>77</v>
      </c>
      <c r="F389">
        <v>107</v>
      </c>
      <c r="G389">
        <v>3.27</v>
      </c>
    </row>
    <row r="390" spans="1:7" x14ac:dyDescent="0.25">
      <c r="A390">
        <v>1999</v>
      </c>
      <c r="B390" t="s">
        <v>119</v>
      </c>
      <c r="C390">
        <v>10</v>
      </c>
      <c r="D390">
        <v>112</v>
      </c>
      <c r="E390">
        <v>62</v>
      </c>
      <c r="F390">
        <v>96</v>
      </c>
      <c r="G390">
        <v>2.7</v>
      </c>
    </row>
    <row r="391" spans="1:7" x14ac:dyDescent="0.25">
      <c r="A391">
        <v>1999</v>
      </c>
      <c r="B391" t="s">
        <v>10</v>
      </c>
      <c r="C391">
        <v>30</v>
      </c>
      <c r="D391">
        <v>449</v>
      </c>
      <c r="E391">
        <v>67</v>
      </c>
      <c r="F391">
        <v>105</v>
      </c>
      <c r="G391">
        <v>3.13</v>
      </c>
    </row>
    <row r="392" spans="1:7" x14ac:dyDescent="0.25">
      <c r="A392">
        <v>1999</v>
      </c>
      <c r="B392" t="s">
        <v>81</v>
      </c>
      <c r="C392">
        <v>30</v>
      </c>
      <c r="D392">
        <v>295</v>
      </c>
      <c r="E392">
        <v>58</v>
      </c>
      <c r="F392">
        <v>92</v>
      </c>
      <c r="G392">
        <v>2.6</v>
      </c>
    </row>
    <row r="393" spans="1:7" x14ac:dyDescent="0.25">
      <c r="A393">
        <v>1999</v>
      </c>
      <c r="B393" t="s">
        <v>82</v>
      </c>
      <c r="C393">
        <v>40</v>
      </c>
      <c r="D393">
        <v>392</v>
      </c>
      <c r="E393">
        <v>50</v>
      </c>
      <c r="F393">
        <v>88</v>
      </c>
      <c r="G393">
        <v>3.13</v>
      </c>
    </row>
    <row r="394" spans="1:7" x14ac:dyDescent="0.25">
      <c r="A394">
        <v>1999</v>
      </c>
      <c r="B394" t="s">
        <v>13</v>
      </c>
      <c r="C394">
        <v>15</v>
      </c>
      <c r="D394">
        <v>385</v>
      </c>
      <c r="E394">
        <v>93</v>
      </c>
      <c r="F394">
        <v>123</v>
      </c>
      <c r="G394">
        <v>3.2</v>
      </c>
    </row>
    <row r="395" spans="1:7" x14ac:dyDescent="0.25">
      <c r="A395">
        <v>1999</v>
      </c>
      <c r="B395" t="s">
        <v>120</v>
      </c>
      <c r="C395">
        <v>40</v>
      </c>
      <c r="D395">
        <v>269</v>
      </c>
      <c r="E395">
        <v>63</v>
      </c>
      <c r="F395">
        <v>108</v>
      </c>
      <c r="G395">
        <v>2.2000000000000002</v>
      </c>
    </row>
    <row r="396" spans="1:7" x14ac:dyDescent="0.25">
      <c r="A396">
        <v>1999</v>
      </c>
      <c r="B396" t="s">
        <v>121</v>
      </c>
      <c r="C396">
        <v>15</v>
      </c>
      <c r="D396">
        <v>401</v>
      </c>
      <c r="E396">
        <v>89</v>
      </c>
      <c r="F396">
        <v>135</v>
      </c>
      <c r="G396">
        <v>3.13</v>
      </c>
    </row>
    <row r="397" spans="1:7" x14ac:dyDescent="0.25">
      <c r="A397">
        <v>1999</v>
      </c>
      <c r="B397" t="s">
        <v>192</v>
      </c>
      <c r="C397">
        <v>50</v>
      </c>
      <c r="D397">
        <v>2277</v>
      </c>
      <c r="E397">
        <v>95</v>
      </c>
      <c r="F397">
        <v>137</v>
      </c>
      <c r="G397">
        <v>3.16</v>
      </c>
    </row>
    <row r="398" spans="1:7" x14ac:dyDescent="0.25">
      <c r="A398">
        <v>1999</v>
      </c>
      <c r="B398" t="s">
        <v>193</v>
      </c>
      <c r="C398">
        <v>45</v>
      </c>
      <c r="D398">
        <v>2545</v>
      </c>
      <c r="E398">
        <v>88</v>
      </c>
      <c r="F398">
        <v>125</v>
      </c>
      <c r="G398">
        <v>3.24</v>
      </c>
    </row>
    <row r="399" spans="1:7" x14ac:dyDescent="0.25">
      <c r="A399">
        <v>1999</v>
      </c>
      <c r="B399" t="s">
        <v>194</v>
      </c>
      <c r="C399">
        <v>20</v>
      </c>
      <c r="D399">
        <v>567</v>
      </c>
      <c r="E399">
        <v>80</v>
      </c>
      <c r="F399">
        <v>123</v>
      </c>
      <c r="G399">
        <v>3.15</v>
      </c>
    </row>
    <row r="400" spans="1:7" x14ac:dyDescent="0.25">
      <c r="A400">
        <v>1999</v>
      </c>
      <c r="B400" t="s">
        <v>195</v>
      </c>
      <c r="C400">
        <v>45</v>
      </c>
      <c r="D400">
        <v>722</v>
      </c>
      <c r="E400">
        <v>69</v>
      </c>
      <c r="F400">
        <v>115</v>
      </c>
      <c r="G400">
        <v>3.13</v>
      </c>
    </row>
    <row r="401" spans="1:7" x14ac:dyDescent="0.25">
      <c r="A401">
        <v>1999</v>
      </c>
      <c r="B401" t="s">
        <v>196</v>
      </c>
      <c r="C401">
        <v>25</v>
      </c>
      <c r="D401">
        <v>1803</v>
      </c>
      <c r="E401">
        <v>85</v>
      </c>
      <c r="F401">
        <v>109</v>
      </c>
      <c r="G401">
        <v>3.04</v>
      </c>
    </row>
    <row r="402" spans="1:7" x14ac:dyDescent="0.25">
      <c r="A402">
        <v>1999</v>
      </c>
      <c r="B402" t="s">
        <v>197</v>
      </c>
      <c r="C402">
        <v>210</v>
      </c>
      <c r="D402">
        <v>1257</v>
      </c>
      <c r="E402">
        <v>66</v>
      </c>
      <c r="F402">
        <v>117</v>
      </c>
      <c r="G402">
        <v>2.09</v>
      </c>
    </row>
    <row r="403" spans="1:7" x14ac:dyDescent="0.25">
      <c r="A403">
        <v>1999</v>
      </c>
      <c r="B403" t="s">
        <v>198</v>
      </c>
      <c r="C403">
        <v>40</v>
      </c>
      <c r="D403">
        <v>214</v>
      </c>
      <c r="E403">
        <v>60</v>
      </c>
      <c r="F403">
        <v>107</v>
      </c>
      <c r="G403">
        <v>1.88</v>
      </c>
    </row>
    <row r="404" spans="1:7" x14ac:dyDescent="0.25">
      <c r="A404">
        <v>1999</v>
      </c>
      <c r="B404" t="s">
        <v>199</v>
      </c>
      <c r="C404">
        <v>170</v>
      </c>
      <c r="D404">
        <v>660</v>
      </c>
      <c r="E404">
        <v>61</v>
      </c>
      <c r="F404">
        <v>111</v>
      </c>
      <c r="G404">
        <v>1.42</v>
      </c>
    </row>
    <row r="405" spans="1:7" x14ac:dyDescent="0.25">
      <c r="A405">
        <v>1999</v>
      </c>
      <c r="B405" t="s">
        <v>200</v>
      </c>
      <c r="C405">
        <v>160</v>
      </c>
      <c r="D405">
        <v>766</v>
      </c>
      <c r="E405">
        <v>60</v>
      </c>
      <c r="F405">
        <v>109</v>
      </c>
      <c r="G405">
        <v>1.69</v>
      </c>
    </row>
    <row r="406" spans="1:7" x14ac:dyDescent="0.25">
      <c r="A406">
        <v>1999</v>
      </c>
      <c r="B406" t="s">
        <v>201</v>
      </c>
      <c r="C406">
        <v>270</v>
      </c>
      <c r="D406">
        <v>1526</v>
      </c>
      <c r="E406">
        <v>65</v>
      </c>
      <c r="F406">
        <v>119</v>
      </c>
      <c r="G406">
        <v>1.88</v>
      </c>
    </row>
    <row r="407" spans="1:7" x14ac:dyDescent="0.25">
      <c r="A407">
        <v>1999</v>
      </c>
      <c r="B407" t="s">
        <v>202</v>
      </c>
      <c r="C407">
        <v>849</v>
      </c>
      <c r="D407">
        <v>4179</v>
      </c>
      <c r="E407">
        <v>58</v>
      </c>
      <c r="F407">
        <v>130</v>
      </c>
      <c r="G407">
        <v>1.58</v>
      </c>
    </row>
    <row r="408" spans="1:7" x14ac:dyDescent="0.25">
      <c r="A408">
        <v>1999</v>
      </c>
      <c r="B408" t="s">
        <v>203</v>
      </c>
      <c r="C408">
        <v>40</v>
      </c>
      <c r="D408">
        <v>344</v>
      </c>
      <c r="E408">
        <v>59</v>
      </c>
      <c r="F408">
        <v>119</v>
      </c>
      <c r="G408">
        <v>2.38</v>
      </c>
    </row>
    <row r="409" spans="1:7" x14ac:dyDescent="0.25">
      <c r="A409">
        <v>1999</v>
      </c>
      <c r="B409" t="s">
        <v>204</v>
      </c>
      <c r="C409">
        <v>200</v>
      </c>
      <c r="D409">
        <v>5159</v>
      </c>
      <c r="E409">
        <v>86</v>
      </c>
      <c r="F409">
        <v>138</v>
      </c>
      <c r="G409">
        <v>3.06</v>
      </c>
    </row>
    <row r="410" spans="1:7" x14ac:dyDescent="0.25">
      <c r="A410">
        <v>1999</v>
      </c>
      <c r="B410" t="s">
        <v>205</v>
      </c>
      <c r="C410">
        <v>40</v>
      </c>
      <c r="D410">
        <v>787</v>
      </c>
      <c r="E410">
        <v>81</v>
      </c>
      <c r="F410">
        <v>120</v>
      </c>
      <c r="G410">
        <v>3.18</v>
      </c>
    </row>
    <row r="411" spans="1:7" x14ac:dyDescent="0.25">
      <c r="A411">
        <v>1999</v>
      </c>
      <c r="B411" t="s">
        <v>206</v>
      </c>
      <c r="C411">
        <v>140</v>
      </c>
      <c r="D411">
        <v>1544</v>
      </c>
      <c r="E411">
        <v>65</v>
      </c>
      <c r="F411">
        <v>115</v>
      </c>
      <c r="G411">
        <v>2.68</v>
      </c>
    </row>
    <row r="412" spans="1:7" x14ac:dyDescent="0.25">
      <c r="A412">
        <v>1999</v>
      </c>
      <c r="B412" t="s">
        <v>207</v>
      </c>
      <c r="C412">
        <v>40</v>
      </c>
      <c r="D412">
        <v>329</v>
      </c>
      <c r="E412">
        <v>60</v>
      </c>
      <c r="F412">
        <v>101</v>
      </c>
      <c r="G412">
        <v>2.4300000000000002</v>
      </c>
    </row>
    <row r="413" spans="1:7" x14ac:dyDescent="0.25">
      <c r="A413">
        <v>1999</v>
      </c>
      <c r="B413" t="s">
        <v>208</v>
      </c>
      <c r="C413">
        <v>180</v>
      </c>
      <c r="D413">
        <v>2013</v>
      </c>
      <c r="E413">
        <v>79</v>
      </c>
      <c r="F413">
        <v>137</v>
      </c>
      <c r="G413">
        <v>3.01</v>
      </c>
    </row>
    <row r="414" spans="1:7" x14ac:dyDescent="0.25">
      <c r="A414">
        <v>1999</v>
      </c>
      <c r="B414" t="s">
        <v>209</v>
      </c>
      <c r="C414">
        <v>40</v>
      </c>
      <c r="D414">
        <v>423</v>
      </c>
      <c r="E414">
        <v>72</v>
      </c>
      <c r="F414">
        <v>123</v>
      </c>
      <c r="G414">
        <v>2.98</v>
      </c>
    </row>
    <row r="415" spans="1:7" x14ac:dyDescent="0.25">
      <c r="A415">
        <v>1999</v>
      </c>
      <c r="B415" t="s">
        <v>210</v>
      </c>
      <c r="C415">
        <v>150</v>
      </c>
      <c r="D415">
        <v>2849</v>
      </c>
      <c r="E415">
        <v>82</v>
      </c>
      <c r="F415">
        <v>134</v>
      </c>
      <c r="G415">
        <v>3.05</v>
      </c>
    </row>
    <row r="416" spans="1:7" x14ac:dyDescent="0.25">
      <c r="A416">
        <v>1999</v>
      </c>
      <c r="B416" t="s">
        <v>211</v>
      </c>
      <c r="C416">
        <v>30</v>
      </c>
      <c r="D416">
        <v>585</v>
      </c>
      <c r="E416">
        <v>78</v>
      </c>
      <c r="F416">
        <v>121</v>
      </c>
      <c r="G416">
        <v>3.1</v>
      </c>
    </row>
    <row r="417" spans="1:7" x14ac:dyDescent="0.25">
      <c r="A417">
        <v>1999</v>
      </c>
      <c r="B417" t="s">
        <v>212</v>
      </c>
      <c r="C417">
        <v>460</v>
      </c>
      <c r="D417">
        <v>12498</v>
      </c>
      <c r="E417">
        <v>90</v>
      </c>
      <c r="F417">
        <v>138</v>
      </c>
      <c r="G417">
        <v>3.01</v>
      </c>
    </row>
    <row r="418" spans="1:7" x14ac:dyDescent="0.25">
      <c r="A418">
        <v>1999</v>
      </c>
      <c r="B418" t="s">
        <v>213</v>
      </c>
      <c r="C418">
        <v>120</v>
      </c>
      <c r="D418">
        <v>1474</v>
      </c>
      <c r="E418">
        <v>55</v>
      </c>
      <c r="F418">
        <v>119</v>
      </c>
      <c r="G418">
        <v>2.65</v>
      </c>
    </row>
    <row r="419" spans="1:7" x14ac:dyDescent="0.25">
      <c r="A419">
        <v>1999</v>
      </c>
      <c r="B419" t="s">
        <v>214</v>
      </c>
      <c r="C419">
        <v>50</v>
      </c>
      <c r="D419">
        <v>306</v>
      </c>
      <c r="E419">
        <v>51</v>
      </c>
      <c r="F419">
        <v>108</v>
      </c>
      <c r="G419">
        <v>1.78</v>
      </c>
    </row>
    <row r="420" spans="1:7" x14ac:dyDescent="0.25">
      <c r="A420">
        <v>1999</v>
      </c>
      <c r="B420" t="s">
        <v>215</v>
      </c>
      <c r="C420">
        <v>20</v>
      </c>
      <c r="D420">
        <v>113</v>
      </c>
      <c r="E420">
        <v>66</v>
      </c>
      <c r="F420">
        <v>104</v>
      </c>
      <c r="G420">
        <v>2</v>
      </c>
    </row>
    <row r="421" spans="1:7" x14ac:dyDescent="0.25">
      <c r="A421">
        <v>1999</v>
      </c>
      <c r="B421" t="s">
        <v>216</v>
      </c>
      <c r="C421">
        <v>170</v>
      </c>
      <c r="D421">
        <v>5434</v>
      </c>
      <c r="E421">
        <v>64</v>
      </c>
      <c r="F421">
        <v>120</v>
      </c>
      <c r="G421">
        <v>3.19</v>
      </c>
    </row>
    <row r="422" spans="1:7" x14ac:dyDescent="0.25">
      <c r="A422">
        <v>1999</v>
      </c>
      <c r="B422" t="s">
        <v>217</v>
      </c>
      <c r="C422">
        <v>30</v>
      </c>
      <c r="D422">
        <v>1810</v>
      </c>
      <c r="E422">
        <v>62</v>
      </c>
      <c r="F422">
        <v>105</v>
      </c>
      <c r="G422">
        <v>3.2</v>
      </c>
    </row>
    <row r="423" spans="1:7" x14ac:dyDescent="0.25">
      <c r="A423">
        <v>1999</v>
      </c>
      <c r="B423" t="s">
        <v>218</v>
      </c>
      <c r="C423">
        <v>600</v>
      </c>
      <c r="D423">
        <v>7214</v>
      </c>
      <c r="E423">
        <v>63</v>
      </c>
      <c r="F423">
        <v>116</v>
      </c>
      <c r="G423">
        <v>2.88</v>
      </c>
    </row>
    <row r="424" spans="1:7" x14ac:dyDescent="0.25">
      <c r="A424">
        <v>1999</v>
      </c>
      <c r="B424" t="s">
        <v>38</v>
      </c>
      <c r="C424">
        <v>180</v>
      </c>
      <c r="D424">
        <v>2717</v>
      </c>
      <c r="E424">
        <v>77</v>
      </c>
      <c r="F424">
        <v>131</v>
      </c>
      <c r="G424">
        <v>3.17</v>
      </c>
    </row>
    <row r="425" spans="1:7" x14ac:dyDescent="0.25">
      <c r="A425">
        <v>1999</v>
      </c>
      <c r="B425" t="s">
        <v>126</v>
      </c>
      <c r="C425">
        <v>25</v>
      </c>
      <c r="D425">
        <v>456</v>
      </c>
      <c r="E425">
        <v>89</v>
      </c>
      <c r="F425">
        <v>129</v>
      </c>
      <c r="G425">
        <v>3.08</v>
      </c>
    </row>
    <row r="426" spans="1:7" x14ac:dyDescent="0.25">
      <c r="A426">
        <v>1999</v>
      </c>
      <c r="B426" t="s">
        <v>127</v>
      </c>
      <c r="C426">
        <v>40</v>
      </c>
      <c r="D426">
        <v>596</v>
      </c>
      <c r="E426">
        <v>78</v>
      </c>
      <c r="F426">
        <v>113</v>
      </c>
      <c r="G426">
        <v>3.03</v>
      </c>
    </row>
    <row r="427" spans="1:7" x14ac:dyDescent="0.25">
      <c r="A427">
        <v>1999</v>
      </c>
      <c r="B427" t="s">
        <v>41</v>
      </c>
      <c r="C427">
        <v>190</v>
      </c>
      <c r="D427">
        <v>2258</v>
      </c>
      <c r="E427">
        <v>59</v>
      </c>
      <c r="F427">
        <v>111</v>
      </c>
      <c r="G427">
        <v>2.64</v>
      </c>
    </row>
    <row r="428" spans="1:7" x14ac:dyDescent="0.25">
      <c r="A428">
        <v>1999</v>
      </c>
      <c r="B428" t="s">
        <v>92</v>
      </c>
      <c r="C428">
        <v>80</v>
      </c>
      <c r="D428">
        <v>703</v>
      </c>
      <c r="E428">
        <v>59</v>
      </c>
      <c r="F428">
        <v>92</v>
      </c>
      <c r="G428">
        <v>2.31</v>
      </c>
    </row>
    <row r="429" spans="1:7" x14ac:dyDescent="0.25">
      <c r="A429">
        <v>1999</v>
      </c>
      <c r="B429" t="s">
        <v>128</v>
      </c>
      <c r="C429">
        <v>135</v>
      </c>
      <c r="D429">
        <v>2147</v>
      </c>
      <c r="E429">
        <v>77</v>
      </c>
      <c r="F429">
        <v>124</v>
      </c>
      <c r="G429">
        <v>3.12</v>
      </c>
    </row>
    <row r="430" spans="1:7" x14ac:dyDescent="0.25">
      <c r="A430">
        <v>1999</v>
      </c>
      <c r="B430" t="s">
        <v>219</v>
      </c>
      <c r="C430">
        <v>50</v>
      </c>
      <c r="D430">
        <v>866</v>
      </c>
      <c r="E430">
        <v>81</v>
      </c>
      <c r="F430">
        <v>117</v>
      </c>
      <c r="G430">
        <v>3.04</v>
      </c>
    </row>
    <row r="431" spans="1:7" x14ac:dyDescent="0.25">
      <c r="A431">
        <v>1999</v>
      </c>
      <c r="B431" t="s">
        <v>45</v>
      </c>
      <c r="C431">
        <v>485</v>
      </c>
      <c r="D431">
        <v>13599</v>
      </c>
      <c r="E431">
        <v>106</v>
      </c>
      <c r="F431">
        <v>147</v>
      </c>
      <c r="G431">
        <v>3.09</v>
      </c>
    </row>
    <row r="432" spans="1:7" x14ac:dyDescent="0.25">
      <c r="A432">
        <v>1999</v>
      </c>
      <c r="B432" t="s">
        <v>46</v>
      </c>
      <c r="C432">
        <v>80</v>
      </c>
      <c r="D432">
        <v>2255</v>
      </c>
      <c r="E432">
        <v>82</v>
      </c>
      <c r="F432">
        <v>139</v>
      </c>
      <c r="G432">
        <v>3.15</v>
      </c>
    </row>
    <row r="433" spans="1:7" x14ac:dyDescent="0.25">
      <c r="A433">
        <v>1999</v>
      </c>
      <c r="B433" t="s">
        <v>130</v>
      </c>
      <c r="C433">
        <v>30</v>
      </c>
      <c r="D433">
        <v>384</v>
      </c>
      <c r="E433">
        <v>65</v>
      </c>
      <c r="F433">
        <v>108</v>
      </c>
      <c r="G433">
        <v>3.03</v>
      </c>
    </row>
    <row r="434" spans="1:7" x14ac:dyDescent="0.25">
      <c r="A434">
        <v>1999</v>
      </c>
      <c r="B434" t="s">
        <v>48</v>
      </c>
      <c r="C434">
        <v>133</v>
      </c>
      <c r="D434">
        <v>2484</v>
      </c>
      <c r="E434">
        <v>77</v>
      </c>
      <c r="F434">
        <v>124</v>
      </c>
      <c r="G434">
        <v>3.19</v>
      </c>
    </row>
    <row r="435" spans="1:7" x14ac:dyDescent="0.25">
      <c r="A435">
        <v>1999</v>
      </c>
      <c r="B435" t="s">
        <v>97</v>
      </c>
      <c r="C435">
        <v>80</v>
      </c>
      <c r="D435">
        <v>1347</v>
      </c>
      <c r="E435">
        <v>80</v>
      </c>
      <c r="F435">
        <v>112</v>
      </c>
      <c r="G435">
        <v>3.14</v>
      </c>
    </row>
    <row r="436" spans="1:7" x14ac:dyDescent="0.25">
      <c r="A436">
        <v>1999</v>
      </c>
      <c r="B436" t="s">
        <v>98</v>
      </c>
      <c r="C436">
        <v>50</v>
      </c>
      <c r="D436">
        <v>688</v>
      </c>
      <c r="E436">
        <v>76</v>
      </c>
      <c r="F436">
        <v>128</v>
      </c>
      <c r="G436">
        <v>3</v>
      </c>
    </row>
    <row r="437" spans="1:7" x14ac:dyDescent="0.25">
      <c r="A437">
        <v>1999</v>
      </c>
      <c r="B437" t="s">
        <v>51</v>
      </c>
      <c r="C437">
        <v>58</v>
      </c>
      <c r="D437">
        <v>919</v>
      </c>
      <c r="E437">
        <v>67</v>
      </c>
      <c r="F437">
        <v>111</v>
      </c>
      <c r="G437">
        <v>3.09</v>
      </c>
    </row>
    <row r="438" spans="1:7" x14ac:dyDescent="0.25">
      <c r="A438">
        <v>1999</v>
      </c>
      <c r="B438" t="s">
        <v>154</v>
      </c>
      <c r="C438">
        <v>25</v>
      </c>
      <c r="D438">
        <v>300</v>
      </c>
      <c r="E438">
        <v>62</v>
      </c>
      <c r="F438">
        <v>97</v>
      </c>
      <c r="G438">
        <v>2.84</v>
      </c>
    </row>
    <row r="439" spans="1:7" x14ac:dyDescent="0.25">
      <c r="A439">
        <v>1999</v>
      </c>
      <c r="B439" t="s">
        <v>177</v>
      </c>
      <c r="C439">
        <v>30</v>
      </c>
      <c r="D439">
        <v>182</v>
      </c>
      <c r="E439">
        <v>58</v>
      </c>
      <c r="F439">
        <v>97</v>
      </c>
      <c r="G439">
        <v>1.9</v>
      </c>
    </row>
    <row r="440" spans="1:7" x14ac:dyDescent="0.25">
      <c r="A440">
        <v>1999</v>
      </c>
      <c r="B440" t="s">
        <v>156</v>
      </c>
      <c r="C440">
        <v>25</v>
      </c>
      <c r="D440">
        <v>1164</v>
      </c>
      <c r="E440">
        <v>86</v>
      </c>
      <c r="F440">
        <v>115</v>
      </c>
      <c r="G440">
        <v>3.12</v>
      </c>
    </row>
    <row r="441" spans="1:7" x14ac:dyDescent="0.25">
      <c r="A441">
        <v>1999</v>
      </c>
      <c r="B441" t="s">
        <v>157</v>
      </c>
      <c r="C441">
        <v>40</v>
      </c>
      <c r="D441">
        <v>1381</v>
      </c>
      <c r="E441">
        <v>82</v>
      </c>
      <c r="F441">
        <v>126</v>
      </c>
      <c r="G441">
        <v>3</v>
      </c>
    </row>
    <row r="442" spans="1:7" x14ac:dyDescent="0.25">
      <c r="A442">
        <v>1999</v>
      </c>
      <c r="B442" t="s">
        <v>158</v>
      </c>
      <c r="C442">
        <v>55</v>
      </c>
      <c r="D442">
        <v>943</v>
      </c>
      <c r="E442">
        <v>69</v>
      </c>
      <c r="F442">
        <v>107</v>
      </c>
      <c r="G442">
        <v>3.02</v>
      </c>
    </row>
    <row r="443" spans="1:7" x14ac:dyDescent="0.25">
      <c r="A443">
        <v>1999</v>
      </c>
      <c r="B443" t="s">
        <v>159</v>
      </c>
      <c r="C443">
        <v>40</v>
      </c>
      <c r="D443">
        <v>1147</v>
      </c>
      <c r="E443">
        <v>74</v>
      </c>
      <c r="F443">
        <v>113</v>
      </c>
      <c r="G443">
        <v>3.18</v>
      </c>
    </row>
    <row r="444" spans="1:7" x14ac:dyDescent="0.25">
      <c r="A444">
        <v>1999</v>
      </c>
      <c r="B444" t="s">
        <v>58</v>
      </c>
      <c r="C444">
        <v>70</v>
      </c>
      <c r="D444">
        <v>1734</v>
      </c>
      <c r="E444">
        <v>77</v>
      </c>
      <c r="F444">
        <v>123</v>
      </c>
      <c r="G444">
        <v>3.11</v>
      </c>
    </row>
    <row r="445" spans="1:7" x14ac:dyDescent="0.25">
      <c r="A445">
        <v>1999</v>
      </c>
      <c r="B445" t="s">
        <v>160</v>
      </c>
      <c r="C445">
        <v>80</v>
      </c>
      <c r="D445">
        <v>1772</v>
      </c>
      <c r="E445">
        <v>75</v>
      </c>
      <c r="F445">
        <v>113</v>
      </c>
      <c r="G445">
        <v>3.2</v>
      </c>
    </row>
    <row r="446" spans="1:7" x14ac:dyDescent="0.25">
      <c r="A446">
        <v>1999</v>
      </c>
      <c r="B446" t="s">
        <v>134</v>
      </c>
      <c r="C446">
        <v>50</v>
      </c>
      <c r="D446">
        <v>1198</v>
      </c>
      <c r="E446">
        <v>65</v>
      </c>
      <c r="F446">
        <v>110</v>
      </c>
      <c r="G446">
        <v>3.2</v>
      </c>
    </row>
    <row r="447" spans="1:7" x14ac:dyDescent="0.25">
      <c r="A447">
        <v>1999</v>
      </c>
      <c r="B447" t="s">
        <v>60</v>
      </c>
      <c r="C447">
        <v>50</v>
      </c>
      <c r="D447">
        <v>660</v>
      </c>
      <c r="E447">
        <v>65</v>
      </c>
      <c r="F447">
        <v>111</v>
      </c>
      <c r="G447">
        <v>2.92</v>
      </c>
    </row>
    <row r="448" spans="1:7" x14ac:dyDescent="0.25">
      <c r="A448">
        <v>1999</v>
      </c>
      <c r="B448" t="s">
        <v>106</v>
      </c>
      <c r="C448">
        <v>40</v>
      </c>
      <c r="D448">
        <v>605</v>
      </c>
      <c r="E448">
        <v>57</v>
      </c>
      <c r="F448">
        <v>97</v>
      </c>
      <c r="G448">
        <v>3.03</v>
      </c>
    </row>
    <row r="449" spans="1:7" x14ac:dyDescent="0.25">
      <c r="A449">
        <v>1999</v>
      </c>
      <c r="B449" t="s">
        <v>220</v>
      </c>
      <c r="C449">
        <v>200</v>
      </c>
      <c r="D449">
        <v>1286</v>
      </c>
      <c r="E449">
        <v>63</v>
      </c>
      <c r="F449">
        <v>120</v>
      </c>
      <c r="G449">
        <v>2.0499999999999998</v>
      </c>
    </row>
    <row r="450" spans="1:7" x14ac:dyDescent="0.25">
      <c r="A450">
        <v>1999</v>
      </c>
      <c r="B450" t="s">
        <v>221</v>
      </c>
      <c r="C450">
        <v>40</v>
      </c>
      <c r="D450">
        <v>642</v>
      </c>
      <c r="E450">
        <v>60</v>
      </c>
      <c r="F450">
        <v>93</v>
      </c>
      <c r="G450">
        <v>3.38</v>
      </c>
    </row>
    <row r="451" spans="1:7" x14ac:dyDescent="0.25">
      <c r="A451">
        <v>1999</v>
      </c>
      <c r="B451" t="s">
        <v>182</v>
      </c>
      <c r="C451">
        <v>40</v>
      </c>
      <c r="D451">
        <v>285</v>
      </c>
      <c r="E451">
        <v>62</v>
      </c>
      <c r="F451">
        <v>98</v>
      </c>
      <c r="G451">
        <v>2.25</v>
      </c>
    </row>
    <row r="452" spans="1:7" x14ac:dyDescent="0.25">
      <c r="A452">
        <v>1999</v>
      </c>
      <c r="B452" t="s">
        <v>222</v>
      </c>
      <c r="C452">
        <v>600</v>
      </c>
      <c r="D452">
        <v>7329</v>
      </c>
      <c r="E452">
        <v>63</v>
      </c>
      <c r="F452">
        <v>112</v>
      </c>
      <c r="G452">
        <v>2.96</v>
      </c>
    </row>
    <row r="453" spans="1:7" x14ac:dyDescent="0.25">
      <c r="A453">
        <v>1999</v>
      </c>
      <c r="B453" t="s">
        <v>223</v>
      </c>
      <c r="C453">
        <v>904</v>
      </c>
      <c r="D453">
        <v>8609</v>
      </c>
      <c r="E453">
        <v>79</v>
      </c>
      <c r="F453">
        <v>148</v>
      </c>
      <c r="G453">
        <v>2.86</v>
      </c>
    </row>
    <row r="454" spans="1:7" x14ac:dyDescent="0.25">
      <c r="A454">
        <v>1999</v>
      </c>
      <c r="B454" t="s">
        <v>224</v>
      </c>
      <c r="C454">
        <v>60</v>
      </c>
      <c r="D454">
        <v>531</v>
      </c>
      <c r="E454">
        <v>67</v>
      </c>
      <c r="F454">
        <v>129</v>
      </c>
      <c r="G454">
        <v>2.4300000000000002</v>
      </c>
    </row>
    <row r="455" spans="1:7" x14ac:dyDescent="0.25">
      <c r="A455">
        <v>1999</v>
      </c>
      <c r="B455" t="s">
        <v>225</v>
      </c>
      <c r="C455">
        <v>130</v>
      </c>
      <c r="D455">
        <v>2287</v>
      </c>
      <c r="E455">
        <v>81</v>
      </c>
      <c r="F455">
        <v>129</v>
      </c>
      <c r="G455">
        <v>3.15</v>
      </c>
    </row>
    <row r="456" spans="1:7" x14ac:dyDescent="0.25">
      <c r="A456">
        <v>1999</v>
      </c>
      <c r="B456" t="s">
        <v>226</v>
      </c>
      <c r="C456">
        <v>50</v>
      </c>
      <c r="D456">
        <v>424</v>
      </c>
      <c r="E456">
        <v>63</v>
      </c>
      <c r="F456">
        <v>106</v>
      </c>
      <c r="G456">
        <v>2.5</v>
      </c>
    </row>
    <row r="457" spans="1:7" x14ac:dyDescent="0.25">
      <c r="A457">
        <v>1999</v>
      </c>
      <c r="B457" t="s">
        <v>227</v>
      </c>
      <c r="C457">
        <v>250</v>
      </c>
      <c r="D457">
        <v>2274</v>
      </c>
      <c r="E457">
        <v>74</v>
      </c>
      <c r="F457">
        <v>130</v>
      </c>
      <c r="G457">
        <v>2.64</v>
      </c>
    </row>
    <row r="458" spans="1:7" x14ac:dyDescent="0.25">
      <c r="A458">
        <v>1999</v>
      </c>
      <c r="B458" t="s">
        <v>228</v>
      </c>
      <c r="C458">
        <v>40</v>
      </c>
      <c r="D458">
        <v>126</v>
      </c>
      <c r="E458">
        <v>49</v>
      </c>
      <c r="F458">
        <v>101</v>
      </c>
      <c r="G458">
        <v>1.58</v>
      </c>
    </row>
    <row r="459" spans="1:7" x14ac:dyDescent="0.25">
      <c r="A459">
        <v>1999</v>
      </c>
      <c r="B459" t="s">
        <v>229</v>
      </c>
      <c r="C459">
        <v>90</v>
      </c>
      <c r="D459">
        <v>376</v>
      </c>
      <c r="E459">
        <v>56</v>
      </c>
      <c r="F459">
        <v>112</v>
      </c>
      <c r="G459">
        <v>1.57</v>
      </c>
    </row>
    <row r="460" spans="1:7" x14ac:dyDescent="0.25">
      <c r="A460">
        <v>1999</v>
      </c>
      <c r="B460" t="s">
        <v>141</v>
      </c>
      <c r="C460">
        <v>150</v>
      </c>
      <c r="D460">
        <v>2095</v>
      </c>
      <c r="E460">
        <v>71</v>
      </c>
      <c r="F460">
        <v>128</v>
      </c>
      <c r="G460">
        <v>3.06</v>
      </c>
    </row>
    <row r="461" spans="1:7" x14ac:dyDescent="0.25">
      <c r="A461">
        <v>1999</v>
      </c>
      <c r="B461" t="s">
        <v>73</v>
      </c>
      <c r="C461">
        <v>260</v>
      </c>
      <c r="D461">
        <v>1074</v>
      </c>
      <c r="E461">
        <v>57</v>
      </c>
      <c r="F461">
        <v>110</v>
      </c>
      <c r="G461">
        <v>1.48</v>
      </c>
    </row>
    <row r="462" spans="1:7" x14ac:dyDescent="0.25">
      <c r="A462">
        <v>1999</v>
      </c>
      <c r="B462" t="s">
        <v>230</v>
      </c>
      <c r="C462">
        <v>70</v>
      </c>
      <c r="D462">
        <v>267</v>
      </c>
      <c r="E462">
        <v>62</v>
      </c>
      <c r="F462">
        <v>109</v>
      </c>
      <c r="G462">
        <v>1.57</v>
      </c>
    </row>
    <row r="463" spans="1:7" x14ac:dyDescent="0.25">
      <c r="A463">
        <v>1999</v>
      </c>
      <c r="B463" t="s">
        <v>231</v>
      </c>
      <c r="C463">
        <v>270</v>
      </c>
      <c r="D463">
        <v>1003</v>
      </c>
      <c r="E463">
        <v>65</v>
      </c>
      <c r="F463">
        <v>144</v>
      </c>
      <c r="G463">
        <v>1.57</v>
      </c>
    </row>
    <row r="464" spans="1:7" x14ac:dyDescent="0.25">
      <c r="A464">
        <v>1999</v>
      </c>
      <c r="B464" t="s">
        <v>232</v>
      </c>
      <c r="C464">
        <v>60</v>
      </c>
      <c r="D464">
        <v>394</v>
      </c>
      <c r="E464">
        <v>72</v>
      </c>
      <c r="F464">
        <v>129</v>
      </c>
      <c r="G464">
        <v>2.23</v>
      </c>
    </row>
    <row r="465" spans="1:7" x14ac:dyDescent="0.25">
      <c r="A465">
        <v>1999</v>
      </c>
      <c r="B465" t="s">
        <v>233</v>
      </c>
      <c r="C465">
        <v>50</v>
      </c>
      <c r="D465">
        <v>222</v>
      </c>
      <c r="E465">
        <v>60</v>
      </c>
      <c r="F465">
        <v>107</v>
      </c>
      <c r="G465">
        <v>1.64</v>
      </c>
    </row>
    <row r="466" spans="1:7" x14ac:dyDescent="0.25">
      <c r="A466">
        <v>1999</v>
      </c>
      <c r="B466" t="s">
        <v>234</v>
      </c>
      <c r="C466">
        <v>40</v>
      </c>
      <c r="D466">
        <v>137</v>
      </c>
      <c r="E466">
        <v>60</v>
      </c>
      <c r="F466">
        <v>102</v>
      </c>
      <c r="G466">
        <v>1.4</v>
      </c>
    </row>
    <row r="467" spans="1:7" x14ac:dyDescent="0.25">
      <c r="A467">
        <v>1999</v>
      </c>
      <c r="B467" t="s">
        <v>235</v>
      </c>
      <c r="C467">
        <v>50</v>
      </c>
      <c r="D467">
        <v>273</v>
      </c>
      <c r="E467">
        <v>60</v>
      </c>
      <c r="F467">
        <v>125</v>
      </c>
      <c r="G467">
        <v>2.02</v>
      </c>
    </row>
    <row r="468" spans="1:7" x14ac:dyDescent="0.25">
      <c r="A468">
        <v>1999</v>
      </c>
      <c r="B468" t="s">
        <v>236</v>
      </c>
      <c r="C468">
        <v>600</v>
      </c>
      <c r="D468">
        <v>3688</v>
      </c>
      <c r="E468">
        <v>64</v>
      </c>
      <c r="F468">
        <v>141</v>
      </c>
      <c r="G468">
        <v>1.95</v>
      </c>
    </row>
    <row r="469" spans="1:7" x14ac:dyDescent="0.25">
      <c r="A469">
        <v>2000</v>
      </c>
      <c r="B469" t="s">
        <v>237</v>
      </c>
      <c r="C469">
        <v>210</v>
      </c>
      <c r="D469">
        <v>5182</v>
      </c>
      <c r="E469">
        <v>95</v>
      </c>
      <c r="F469">
        <v>143</v>
      </c>
      <c r="G469">
        <v>3</v>
      </c>
    </row>
    <row r="470" spans="1:7" x14ac:dyDescent="0.25">
      <c r="A470">
        <v>2000</v>
      </c>
      <c r="B470" t="s">
        <v>238</v>
      </c>
      <c r="C470">
        <v>44</v>
      </c>
      <c r="D470">
        <v>816</v>
      </c>
      <c r="E470">
        <v>90</v>
      </c>
      <c r="F470">
        <v>133</v>
      </c>
      <c r="G470">
        <v>3.16</v>
      </c>
    </row>
    <row r="471" spans="1:7" x14ac:dyDescent="0.25">
      <c r="A471">
        <v>2000</v>
      </c>
      <c r="B471" t="s">
        <v>239</v>
      </c>
      <c r="C471">
        <v>150</v>
      </c>
      <c r="D471">
        <v>2726</v>
      </c>
      <c r="E471">
        <v>94</v>
      </c>
      <c r="F471">
        <v>132</v>
      </c>
      <c r="G471">
        <v>3.01</v>
      </c>
    </row>
    <row r="472" spans="1:7" x14ac:dyDescent="0.25">
      <c r="A472">
        <v>2000</v>
      </c>
      <c r="B472" t="s">
        <v>240</v>
      </c>
      <c r="C472">
        <v>30</v>
      </c>
      <c r="D472">
        <v>580</v>
      </c>
      <c r="E472">
        <v>93</v>
      </c>
      <c r="F472">
        <v>132</v>
      </c>
      <c r="G472">
        <v>3.17</v>
      </c>
    </row>
    <row r="473" spans="1:7" x14ac:dyDescent="0.25">
      <c r="A473">
        <v>2000</v>
      </c>
      <c r="B473" t="s">
        <v>241</v>
      </c>
      <c r="C473">
        <v>15</v>
      </c>
      <c r="D473">
        <v>476</v>
      </c>
      <c r="E473">
        <v>88</v>
      </c>
      <c r="F473">
        <v>122</v>
      </c>
      <c r="G473">
        <v>3</v>
      </c>
    </row>
    <row r="474" spans="1:7" x14ac:dyDescent="0.25">
      <c r="A474">
        <v>2000</v>
      </c>
      <c r="B474" t="s">
        <v>242</v>
      </c>
      <c r="C474">
        <v>10</v>
      </c>
      <c r="D474">
        <v>178</v>
      </c>
      <c r="E474">
        <v>67</v>
      </c>
      <c r="F474">
        <v>89</v>
      </c>
      <c r="G474">
        <v>3.1</v>
      </c>
    </row>
    <row r="475" spans="1:7" x14ac:dyDescent="0.25">
      <c r="A475">
        <v>2000</v>
      </c>
      <c r="B475" t="s">
        <v>243</v>
      </c>
      <c r="C475">
        <v>30</v>
      </c>
      <c r="D475">
        <v>722</v>
      </c>
      <c r="E475">
        <v>82</v>
      </c>
      <c r="F475">
        <v>112</v>
      </c>
      <c r="G475">
        <v>3.37</v>
      </c>
    </row>
    <row r="476" spans="1:7" x14ac:dyDescent="0.25">
      <c r="A476">
        <v>2000</v>
      </c>
      <c r="B476" t="s">
        <v>244</v>
      </c>
      <c r="C476">
        <v>35</v>
      </c>
      <c r="D476">
        <v>322</v>
      </c>
      <c r="E476">
        <v>66</v>
      </c>
      <c r="F476">
        <v>111</v>
      </c>
      <c r="G476">
        <v>2.5099999999999998</v>
      </c>
    </row>
    <row r="477" spans="1:7" x14ac:dyDescent="0.25">
      <c r="A477">
        <v>2000</v>
      </c>
      <c r="B477" t="s">
        <v>245</v>
      </c>
      <c r="C477">
        <v>150</v>
      </c>
      <c r="D477">
        <v>1725</v>
      </c>
      <c r="E477">
        <v>71</v>
      </c>
      <c r="F477">
        <v>124</v>
      </c>
      <c r="G477">
        <v>3</v>
      </c>
    </row>
    <row r="478" spans="1:7" x14ac:dyDescent="0.25">
      <c r="A478">
        <v>2000</v>
      </c>
      <c r="B478" t="s">
        <v>246</v>
      </c>
      <c r="C478">
        <v>40</v>
      </c>
      <c r="D478">
        <v>375</v>
      </c>
      <c r="E478">
        <v>69</v>
      </c>
      <c r="F478">
        <v>120</v>
      </c>
      <c r="G478">
        <v>2.85</v>
      </c>
    </row>
    <row r="479" spans="1:7" x14ac:dyDescent="0.25">
      <c r="A479">
        <v>2000</v>
      </c>
      <c r="B479" t="s">
        <v>247</v>
      </c>
      <c r="C479">
        <v>210</v>
      </c>
      <c r="D479">
        <v>1746</v>
      </c>
      <c r="E479">
        <v>76</v>
      </c>
      <c r="F479">
        <v>129</v>
      </c>
      <c r="G479">
        <v>2.56</v>
      </c>
    </row>
    <row r="480" spans="1:7" x14ac:dyDescent="0.25">
      <c r="A480">
        <v>2000</v>
      </c>
      <c r="B480" t="s">
        <v>248</v>
      </c>
      <c r="C480">
        <v>35</v>
      </c>
      <c r="D480">
        <v>1130</v>
      </c>
      <c r="E480">
        <v>99</v>
      </c>
      <c r="F480">
        <v>142</v>
      </c>
      <c r="G480">
        <v>3.17</v>
      </c>
    </row>
    <row r="481" spans="1:7" x14ac:dyDescent="0.25">
      <c r="A481">
        <v>2000</v>
      </c>
      <c r="B481" t="s">
        <v>249</v>
      </c>
      <c r="C481">
        <v>460</v>
      </c>
      <c r="D481">
        <v>13636</v>
      </c>
      <c r="E481">
        <v>102</v>
      </c>
      <c r="F481">
        <v>149</v>
      </c>
      <c r="G481">
        <v>3.02</v>
      </c>
    </row>
    <row r="482" spans="1:7" x14ac:dyDescent="0.25">
      <c r="A482">
        <v>2000</v>
      </c>
      <c r="B482" t="s">
        <v>250</v>
      </c>
      <c r="C482">
        <v>180</v>
      </c>
      <c r="D482">
        <v>2251</v>
      </c>
      <c r="E482">
        <v>92</v>
      </c>
      <c r="F482">
        <v>144</v>
      </c>
      <c r="G482">
        <v>3.06</v>
      </c>
    </row>
    <row r="483" spans="1:7" x14ac:dyDescent="0.25">
      <c r="A483">
        <v>2000</v>
      </c>
      <c r="B483" t="s">
        <v>251</v>
      </c>
      <c r="C483">
        <v>20</v>
      </c>
      <c r="D483">
        <v>304</v>
      </c>
      <c r="E483">
        <v>82</v>
      </c>
      <c r="F483">
        <v>119</v>
      </c>
      <c r="G483">
        <v>3.05</v>
      </c>
    </row>
    <row r="484" spans="1:7" x14ac:dyDescent="0.25">
      <c r="A484">
        <v>2000</v>
      </c>
      <c r="B484" t="s">
        <v>252</v>
      </c>
      <c r="C484">
        <v>40</v>
      </c>
      <c r="D484">
        <v>454</v>
      </c>
      <c r="E484">
        <v>86</v>
      </c>
      <c r="F484">
        <v>121</v>
      </c>
      <c r="G484">
        <v>3.03</v>
      </c>
    </row>
    <row r="485" spans="1:7" x14ac:dyDescent="0.25">
      <c r="A485">
        <v>2000</v>
      </c>
      <c r="B485" t="s">
        <v>253</v>
      </c>
      <c r="C485">
        <v>15</v>
      </c>
      <c r="D485">
        <v>401</v>
      </c>
      <c r="E485">
        <v>101</v>
      </c>
      <c r="F485">
        <v>134</v>
      </c>
      <c r="G485">
        <v>3.07</v>
      </c>
    </row>
    <row r="486" spans="1:7" x14ac:dyDescent="0.25">
      <c r="A486">
        <v>2000</v>
      </c>
      <c r="B486" t="s">
        <v>254</v>
      </c>
      <c r="C486">
        <v>170</v>
      </c>
      <c r="D486">
        <v>1049</v>
      </c>
      <c r="E486">
        <v>69</v>
      </c>
      <c r="F486">
        <v>127</v>
      </c>
      <c r="G486">
        <v>2.0099999999999998</v>
      </c>
    </row>
    <row r="487" spans="1:7" x14ac:dyDescent="0.25">
      <c r="A487">
        <v>2000</v>
      </c>
      <c r="B487" t="s">
        <v>255</v>
      </c>
      <c r="C487">
        <v>160</v>
      </c>
      <c r="D487">
        <v>1177</v>
      </c>
      <c r="E487">
        <v>70</v>
      </c>
      <c r="F487">
        <v>121</v>
      </c>
      <c r="G487">
        <v>2.36</v>
      </c>
    </row>
    <row r="488" spans="1:7" x14ac:dyDescent="0.25">
      <c r="A488">
        <v>2000</v>
      </c>
      <c r="B488" t="s">
        <v>256</v>
      </c>
      <c r="C488">
        <v>270</v>
      </c>
      <c r="D488">
        <v>2114</v>
      </c>
      <c r="E488">
        <v>73</v>
      </c>
      <c r="F488">
        <v>134</v>
      </c>
      <c r="G488">
        <v>2.4700000000000002</v>
      </c>
    </row>
    <row r="489" spans="1:7" x14ac:dyDescent="0.25">
      <c r="A489">
        <v>2000</v>
      </c>
      <c r="B489" t="s">
        <v>257</v>
      </c>
      <c r="C489">
        <v>50</v>
      </c>
      <c r="D489">
        <v>2618</v>
      </c>
      <c r="E489">
        <v>106</v>
      </c>
      <c r="F489">
        <v>142</v>
      </c>
      <c r="G489">
        <v>3.2</v>
      </c>
    </row>
    <row r="490" spans="1:7" x14ac:dyDescent="0.25">
      <c r="A490">
        <v>2000</v>
      </c>
      <c r="B490" t="s">
        <v>258</v>
      </c>
      <c r="C490">
        <v>849</v>
      </c>
      <c r="D490">
        <v>5887</v>
      </c>
      <c r="E490">
        <v>63</v>
      </c>
      <c r="F490">
        <v>131</v>
      </c>
      <c r="G490">
        <v>2.16</v>
      </c>
    </row>
    <row r="491" spans="1:7" x14ac:dyDescent="0.25">
      <c r="A491">
        <v>2000</v>
      </c>
      <c r="B491" t="s">
        <v>259</v>
      </c>
      <c r="C491">
        <v>30</v>
      </c>
      <c r="D491">
        <v>107</v>
      </c>
      <c r="E491">
        <v>67</v>
      </c>
      <c r="F491">
        <v>115</v>
      </c>
      <c r="G491">
        <v>1.6</v>
      </c>
    </row>
    <row r="492" spans="1:7" x14ac:dyDescent="0.25">
      <c r="A492">
        <v>2000</v>
      </c>
      <c r="B492" t="s">
        <v>260</v>
      </c>
      <c r="C492">
        <v>33</v>
      </c>
      <c r="D492">
        <v>1606</v>
      </c>
      <c r="E492">
        <v>66</v>
      </c>
      <c r="F492">
        <v>114</v>
      </c>
      <c r="G492">
        <v>3</v>
      </c>
    </row>
    <row r="493" spans="1:7" x14ac:dyDescent="0.25">
      <c r="A493">
        <v>2000</v>
      </c>
      <c r="B493" t="s">
        <v>261</v>
      </c>
      <c r="C493">
        <v>187</v>
      </c>
      <c r="D493">
        <v>5430</v>
      </c>
      <c r="E493">
        <v>70</v>
      </c>
      <c r="F493">
        <v>127</v>
      </c>
      <c r="G493">
        <v>3.07</v>
      </c>
    </row>
    <row r="494" spans="1:7" x14ac:dyDescent="0.25">
      <c r="A494">
        <v>2000</v>
      </c>
      <c r="B494" t="s">
        <v>262</v>
      </c>
      <c r="C494">
        <v>120</v>
      </c>
      <c r="D494">
        <v>2050</v>
      </c>
      <c r="E494">
        <v>65</v>
      </c>
      <c r="F494">
        <v>109</v>
      </c>
      <c r="G494">
        <v>3.21</v>
      </c>
    </row>
    <row r="495" spans="1:7" x14ac:dyDescent="0.25">
      <c r="A495">
        <v>2000</v>
      </c>
      <c r="B495" t="s">
        <v>263</v>
      </c>
      <c r="C495">
        <v>50</v>
      </c>
      <c r="D495">
        <v>3134</v>
      </c>
      <c r="E495">
        <v>101</v>
      </c>
      <c r="F495">
        <v>137</v>
      </c>
      <c r="G495">
        <v>3.02</v>
      </c>
    </row>
    <row r="496" spans="1:7" x14ac:dyDescent="0.25">
      <c r="A496">
        <v>2000</v>
      </c>
      <c r="B496" t="s">
        <v>264</v>
      </c>
      <c r="C496">
        <v>50</v>
      </c>
      <c r="D496">
        <v>1877</v>
      </c>
      <c r="E496">
        <v>89</v>
      </c>
      <c r="F496">
        <v>120</v>
      </c>
      <c r="G496">
        <v>3.34</v>
      </c>
    </row>
    <row r="497" spans="1:7" x14ac:dyDescent="0.25">
      <c r="A497">
        <v>2000</v>
      </c>
      <c r="B497" t="s">
        <v>265</v>
      </c>
      <c r="C497">
        <v>30</v>
      </c>
      <c r="D497">
        <v>1933</v>
      </c>
      <c r="E497">
        <v>97</v>
      </c>
      <c r="F497">
        <v>131</v>
      </c>
      <c r="G497">
        <v>3.03</v>
      </c>
    </row>
    <row r="498" spans="1:7" x14ac:dyDescent="0.25">
      <c r="A498">
        <v>2000</v>
      </c>
      <c r="B498" t="s">
        <v>151</v>
      </c>
      <c r="C498">
        <v>600</v>
      </c>
      <c r="D498">
        <v>7805</v>
      </c>
      <c r="E498">
        <v>67</v>
      </c>
      <c r="F498">
        <v>119</v>
      </c>
      <c r="G498">
        <v>3.13</v>
      </c>
    </row>
    <row r="499" spans="1:7" x14ac:dyDescent="0.25">
      <c r="A499">
        <v>2000</v>
      </c>
      <c r="B499" t="s">
        <v>266</v>
      </c>
      <c r="C499">
        <v>120</v>
      </c>
      <c r="D499">
        <v>2631</v>
      </c>
      <c r="E499">
        <v>96</v>
      </c>
      <c r="F499">
        <v>137</v>
      </c>
      <c r="G499">
        <v>3.18</v>
      </c>
    </row>
    <row r="500" spans="1:7" x14ac:dyDescent="0.25">
      <c r="A500">
        <v>2000</v>
      </c>
      <c r="B500" t="s">
        <v>267</v>
      </c>
      <c r="C500">
        <v>40</v>
      </c>
      <c r="D500">
        <v>867</v>
      </c>
      <c r="E500">
        <v>93</v>
      </c>
      <c r="F500">
        <v>127</v>
      </c>
      <c r="G500">
        <v>3.1</v>
      </c>
    </row>
    <row r="501" spans="1:7" x14ac:dyDescent="0.25">
      <c r="A501">
        <v>2000</v>
      </c>
      <c r="B501" t="s">
        <v>268</v>
      </c>
      <c r="C501">
        <v>25</v>
      </c>
      <c r="D501">
        <v>607</v>
      </c>
      <c r="E501">
        <v>106</v>
      </c>
      <c r="F501">
        <v>142</v>
      </c>
      <c r="G501">
        <v>3.12</v>
      </c>
    </row>
    <row r="502" spans="1:7" x14ac:dyDescent="0.25">
      <c r="A502">
        <v>2000</v>
      </c>
      <c r="B502" t="s">
        <v>269</v>
      </c>
      <c r="C502">
        <v>50</v>
      </c>
      <c r="D502">
        <v>1877</v>
      </c>
      <c r="E502">
        <v>81</v>
      </c>
      <c r="F502">
        <v>123</v>
      </c>
      <c r="G502">
        <v>3.08</v>
      </c>
    </row>
    <row r="503" spans="1:7" x14ac:dyDescent="0.25">
      <c r="A503">
        <v>2000</v>
      </c>
      <c r="B503" t="s">
        <v>270</v>
      </c>
      <c r="C503">
        <v>160</v>
      </c>
      <c r="D503">
        <v>2256</v>
      </c>
      <c r="E503">
        <v>69</v>
      </c>
      <c r="F503">
        <v>120</v>
      </c>
      <c r="G503">
        <v>3.09</v>
      </c>
    </row>
    <row r="504" spans="1:7" x14ac:dyDescent="0.25">
      <c r="A504">
        <v>2000</v>
      </c>
      <c r="B504" t="s">
        <v>271</v>
      </c>
      <c r="C504">
        <v>80</v>
      </c>
      <c r="D504">
        <v>1139</v>
      </c>
      <c r="E504">
        <v>70</v>
      </c>
      <c r="F504">
        <v>110</v>
      </c>
      <c r="G504">
        <v>3.21</v>
      </c>
    </row>
    <row r="505" spans="1:7" x14ac:dyDescent="0.25">
      <c r="A505">
        <v>2000</v>
      </c>
      <c r="B505" t="s">
        <v>272</v>
      </c>
      <c r="C505">
        <v>200</v>
      </c>
      <c r="D505">
        <v>1960</v>
      </c>
      <c r="E505">
        <v>74</v>
      </c>
      <c r="F505">
        <v>128</v>
      </c>
      <c r="G505">
        <v>2.82</v>
      </c>
    </row>
    <row r="506" spans="1:7" x14ac:dyDescent="0.25">
      <c r="A506">
        <v>2000</v>
      </c>
      <c r="B506" t="s">
        <v>273</v>
      </c>
      <c r="C506">
        <v>40</v>
      </c>
      <c r="D506">
        <v>335</v>
      </c>
      <c r="E506">
        <v>70</v>
      </c>
      <c r="F506">
        <v>118</v>
      </c>
      <c r="G506">
        <v>2.73</v>
      </c>
    </row>
    <row r="507" spans="1:7" x14ac:dyDescent="0.25">
      <c r="A507">
        <v>2000</v>
      </c>
      <c r="B507" t="s">
        <v>274</v>
      </c>
      <c r="C507">
        <v>50</v>
      </c>
      <c r="D507">
        <v>845</v>
      </c>
      <c r="E507">
        <v>75</v>
      </c>
      <c r="F507">
        <v>120</v>
      </c>
      <c r="G507">
        <v>3.12</v>
      </c>
    </row>
    <row r="508" spans="1:7" x14ac:dyDescent="0.25">
      <c r="A508">
        <v>2000</v>
      </c>
      <c r="B508" t="s">
        <v>275</v>
      </c>
      <c r="C508">
        <v>135</v>
      </c>
      <c r="D508">
        <v>2348</v>
      </c>
      <c r="E508">
        <v>93</v>
      </c>
      <c r="F508">
        <v>131</v>
      </c>
      <c r="G508">
        <v>3.16</v>
      </c>
    </row>
    <row r="509" spans="1:7" x14ac:dyDescent="0.25">
      <c r="A509">
        <v>2000</v>
      </c>
      <c r="B509" t="s">
        <v>276</v>
      </c>
      <c r="C509">
        <v>50</v>
      </c>
      <c r="D509">
        <v>1041</v>
      </c>
      <c r="E509">
        <v>96</v>
      </c>
      <c r="F509">
        <v>129</v>
      </c>
      <c r="G509">
        <v>3.08</v>
      </c>
    </row>
    <row r="510" spans="1:7" x14ac:dyDescent="0.25">
      <c r="A510">
        <v>2000</v>
      </c>
      <c r="B510" t="s">
        <v>277</v>
      </c>
      <c r="C510">
        <v>25</v>
      </c>
      <c r="D510">
        <v>2328</v>
      </c>
      <c r="E510">
        <v>107</v>
      </c>
      <c r="F510">
        <v>137</v>
      </c>
      <c r="G510">
        <v>3.32</v>
      </c>
    </row>
    <row r="511" spans="1:7" x14ac:dyDescent="0.25">
      <c r="A511">
        <v>2000</v>
      </c>
      <c r="B511" t="s">
        <v>278</v>
      </c>
      <c r="C511">
        <v>58</v>
      </c>
      <c r="D511">
        <v>639</v>
      </c>
      <c r="E511">
        <v>71</v>
      </c>
      <c r="F511">
        <v>110</v>
      </c>
      <c r="G511">
        <v>2.9</v>
      </c>
    </row>
    <row r="512" spans="1:7" x14ac:dyDescent="0.25">
      <c r="A512">
        <v>2000</v>
      </c>
      <c r="B512" t="s">
        <v>154</v>
      </c>
      <c r="C512">
        <v>25</v>
      </c>
      <c r="D512">
        <v>348</v>
      </c>
      <c r="E512">
        <v>77</v>
      </c>
      <c r="F512">
        <v>111</v>
      </c>
      <c r="G512">
        <v>3.24</v>
      </c>
    </row>
    <row r="513" spans="1:7" x14ac:dyDescent="0.25">
      <c r="A513">
        <v>2000</v>
      </c>
      <c r="B513" t="s">
        <v>279</v>
      </c>
      <c r="C513">
        <v>485</v>
      </c>
      <c r="D513">
        <v>14367</v>
      </c>
      <c r="E513">
        <v>117</v>
      </c>
      <c r="F513">
        <v>148</v>
      </c>
      <c r="G513">
        <v>3.19</v>
      </c>
    </row>
    <row r="514" spans="1:7" x14ac:dyDescent="0.25">
      <c r="A514">
        <v>2000</v>
      </c>
      <c r="B514" t="s">
        <v>280</v>
      </c>
      <c r="C514">
        <v>80</v>
      </c>
      <c r="D514">
        <v>2547</v>
      </c>
      <c r="E514">
        <v>98</v>
      </c>
      <c r="F514">
        <v>138</v>
      </c>
      <c r="G514">
        <v>3</v>
      </c>
    </row>
    <row r="515" spans="1:7" x14ac:dyDescent="0.25">
      <c r="A515">
        <v>2000</v>
      </c>
      <c r="B515" t="s">
        <v>56</v>
      </c>
      <c r="C515">
        <v>40</v>
      </c>
      <c r="D515">
        <v>1450</v>
      </c>
      <c r="E515">
        <v>89</v>
      </c>
      <c r="F515">
        <v>126</v>
      </c>
      <c r="G515">
        <v>3.15</v>
      </c>
    </row>
    <row r="516" spans="1:7" x14ac:dyDescent="0.25">
      <c r="A516">
        <v>2000</v>
      </c>
      <c r="B516" t="s">
        <v>281</v>
      </c>
      <c r="C516">
        <v>133</v>
      </c>
      <c r="D516">
        <v>2498</v>
      </c>
      <c r="E516">
        <v>88</v>
      </c>
      <c r="F516">
        <v>133</v>
      </c>
      <c r="G516">
        <v>3.1</v>
      </c>
    </row>
    <row r="517" spans="1:7" x14ac:dyDescent="0.25">
      <c r="A517">
        <v>2000</v>
      </c>
      <c r="B517" t="s">
        <v>282</v>
      </c>
      <c r="C517">
        <v>50</v>
      </c>
      <c r="D517">
        <v>1009</v>
      </c>
      <c r="E517">
        <v>92</v>
      </c>
      <c r="F517">
        <v>127</v>
      </c>
      <c r="G517">
        <v>3.08</v>
      </c>
    </row>
    <row r="518" spans="1:7" x14ac:dyDescent="0.25">
      <c r="A518">
        <v>2000</v>
      </c>
      <c r="B518" t="s">
        <v>283</v>
      </c>
      <c r="C518">
        <v>80</v>
      </c>
      <c r="D518">
        <v>839</v>
      </c>
      <c r="E518">
        <v>85</v>
      </c>
      <c r="F518">
        <v>127</v>
      </c>
      <c r="G518">
        <v>3.08</v>
      </c>
    </row>
    <row r="519" spans="1:7" x14ac:dyDescent="0.25">
      <c r="A519">
        <v>2000</v>
      </c>
      <c r="B519" t="s">
        <v>284</v>
      </c>
      <c r="C519">
        <v>70</v>
      </c>
      <c r="D519">
        <v>2179</v>
      </c>
      <c r="E519">
        <v>93</v>
      </c>
      <c r="F519">
        <v>134</v>
      </c>
      <c r="G519">
        <v>3.23</v>
      </c>
    </row>
    <row r="520" spans="1:7" x14ac:dyDescent="0.25">
      <c r="A520">
        <v>2000</v>
      </c>
      <c r="B520" t="s">
        <v>285</v>
      </c>
      <c r="C520">
        <v>40</v>
      </c>
      <c r="D520">
        <v>1143</v>
      </c>
      <c r="E520">
        <v>92</v>
      </c>
      <c r="F520">
        <v>120</v>
      </c>
      <c r="G520">
        <v>3.28</v>
      </c>
    </row>
    <row r="521" spans="1:7" x14ac:dyDescent="0.25">
      <c r="A521">
        <v>2000</v>
      </c>
      <c r="B521" t="s">
        <v>286</v>
      </c>
      <c r="C521">
        <v>20</v>
      </c>
      <c r="D521">
        <v>200</v>
      </c>
      <c r="E521">
        <v>68</v>
      </c>
      <c r="F521">
        <v>110</v>
      </c>
      <c r="G521">
        <v>2.8</v>
      </c>
    </row>
    <row r="522" spans="1:7" x14ac:dyDescent="0.25">
      <c r="A522">
        <v>2000</v>
      </c>
      <c r="B522" t="s">
        <v>287</v>
      </c>
      <c r="C522">
        <v>25</v>
      </c>
      <c r="D522">
        <v>675</v>
      </c>
      <c r="E522">
        <v>86</v>
      </c>
      <c r="F522">
        <v>119</v>
      </c>
      <c r="G522">
        <v>3</v>
      </c>
    </row>
    <row r="523" spans="1:7" x14ac:dyDescent="0.25">
      <c r="A523">
        <v>2000</v>
      </c>
      <c r="B523" t="s">
        <v>288</v>
      </c>
      <c r="C523">
        <v>40</v>
      </c>
      <c r="D523">
        <v>562</v>
      </c>
      <c r="E523">
        <v>75</v>
      </c>
      <c r="F523">
        <v>115</v>
      </c>
      <c r="G523">
        <v>3.38</v>
      </c>
    </row>
    <row r="524" spans="1:7" x14ac:dyDescent="0.25">
      <c r="A524">
        <v>2000</v>
      </c>
      <c r="B524" t="s">
        <v>289</v>
      </c>
      <c r="C524">
        <v>600</v>
      </c>
      <c r="D524">
        <v>7102</v>
      </c>
      <c r="E524">
        <v>66</v>
      </c>
      <c r="F524">
        <v>130</v>
      </c>
      <c r="G524">
        <v>2.98</v>
      </c>
    </row>
    <row r="525" spans="1:7" x14ac:dyDescent="0.25">
      <c r="A525">
        <v>2000</v>
      </c>
      <c r="B525" t="s">
        <v>290</v>
      </c>
      <c r="C525">
        <v>70</v>
      </c>
      <c r="D525">
        <v>352</v>
      </c>
      <c r="E525">
        <v>70</v>
      </c>
      <c r="F525">
        <v>129</v>
      </c>
      <c r="G525">
        <v>1.94</v>
      </c>
    </row>
    <row r="526" spans="1:7" x14ac:dyDescent="0.25">
      <c r="A526">
        <v>2000</v>
      </c>
      <c r="B526" t="s">
        <v>291</v>
      </c>
      <c r="C526">
        <v>80</v>
      </c>
      <c r="D526">
        <v>2502</v>
      </c>
      <c r="E526">
        <v>98</v>
      </c>
      <c r="F526">
        <v>134</v>
      </c>
      <c r="G526">
        <v>3.11</v>
      </c>
    </row>
    <row r="527" spans="1:7" x14ac:dyDescent="0.25">
      <c r="A527">
        <v>2000</v>
      </c>
      <c r="B527" t="s">
        <v>292</v>
      </c>
      <c r="C527">
        <v>874</v>
      </c>
      <c r="D527">
        <v>10763</v>
      </c>
      <c r="E527">
        <v>94</v>
      </c>
      <c r="F527">
        <v>156</v>
      </c>
      <c r="G527">
        <v>3.13</v>
      </c>
    </row>
    <row r="528" spans="1:7" x14ac:dyDescent="0.25">
      <c r="A528">
        <v>2000</v>
      </c>
      <c r="B528" t="s">
        <v>293</v>
      </c>
      <c r="C528">
        <v>60</v>
      </c>
      <c r="D528">
        <v>747</v>
      </c>
      <c r="E528">
        <v>81</v>
      </c>
      <c r="F528">
        <v>135</v>
      </c>
      <c r="G528">
        <v>3.07</v>
      </c>
    </row>
    <row r="529" spans="1:7" x14ac:dyDescent="0.25">
      <c r="A529">
        <v>2000</v>
      </c>
      <c r="B529" t="s">
        <v>294</v>
      </c>
      <c r="C529">
        <v>130</v>
      </c>
      <c r="D529">
        <v>2150</v>
      </c>
      <c r="E529">
        <v>97</v>
      </c>
      <c r="F529">
        <v>133</v>
      </c>
      <c r="G529">
        <v>3.02</v>
      </c>
    </row>
    <row r="530" spans="1:7" x14ac:dyDescent="0.25">
      <c r="A530">
        <v>2000</v>
      </c>
      <c r="B530" t="s">
        <v>295</v>
      </c>
      <c r="C530">
        <v>40</v>
      </c>
      <c r="D530">
        <v>617</v>
      </c>
      <c r="E530">
        <v>88</v>
      </c>
      <c r="F530">
        <v>127</v>
      </c>
      <c r="G530">
        <v>3.15</v>
      </c>
    </row>
    <row r="531" spans="1:7" x14ac:dyDescent="0.25">
      <c r="A531">
        <v>2000</v>
      </c>
      <c r="B531" t="s">
        <v>296</v>
      </c>
      <c r="C531">
        <v>220</v>
      </c>
      <c r="D531">
        <v>1172</v>
      </c>
      <c r="E531">
        <v>77</v>
      </c>
      <c r="F531">
        <v>143</v>
      </c>
      <c r="G531">
        <v>2.09</v>
      </c>
    </row>
    <row r="532" spans="1:7" x14ac:dyDescent="0.25">
      <c r="A532">
        <v>2000</v>
      </c>
      <c r="B532" t="s">
        <v>297</v>
      </c>
      <c r="C532">
        <v>50</v>
      </c>
      <c r="D532">
        <v>359</v>
      </c>
      <c r="E532">
        <v>61</v>
      </c>
      <c r="F532">
        <v>104</v>
      </c>
      <c r="G532">
        <v>2.5</v>
      </c>
    </row>
    <row r="533" spans="1:7" x14ac:dyDescent="0.25">
      <c r="A533">
        <v>2000</v>
      </c>
      <c r="B533" t="s">
        <v>298</v>
      </c>
      <c r="C533">
        <v>260</v>
      </c>
      <c r="D533">
        <v>1707</v>
      </c>
      <c r="E533">
        <v>65</v>
      </c>
      <c r="F533">
        <v>122</v>
      </c>
      <c r="G533">
        <v>2.0299999999999998</v>
      </c>
    </row>
    <row r="534" spans="1:7" x14ac:dyDescent="0.25">
      <c r="A534">
        <v>2000</v>
      </c>
      <c r="B534" t="s">
        <v>299</v>
      </c>
      <c r="C534">
        <v>35</v>
      </c>
      <c r="D534">
        <v>223</v>
      </c>
      <c r="E534">
        <v>70</v>
      </c>
      <c r="F534">
        <v>123</v>
      </c>
      <c r="G534">
        <v>2.11</v>
      </c>
    </row>
    <row r="535" spans="1:7" x14ac:dyDescent="0.25">
      <c r="A535">
        <v>2000</v>
      </c>
      <c r="B535" t="s">
        <v>300</v>
      </c>
      <c r="C535">
        <v>60</v>
      </c>
      <c r="D535">
        <v>508</v>
      </c>
      <c r="E535">
        <v>79</v>
      </c>
      <c r="F535">
        <v>129</v>
      </c>
      <c r="G535">
        <v>2.78</v>
      </c>
    </row>
    <row r="536" spans="1:7" x14ac:dyDescent="0.25">
      <c r="A536">
        <v>2000</v>
      </c>
      <c r="B536" t="s">
        <v>301</v>
      </c>
      <c r="C536">
        <v>50</v>
      </c>
      <c r="D536">
        <v>255</v>
      </c>
      <c r="E536">
        <v>70</v>
      </c>
      <c r="F536">
        <v>111</v>
      </c>
      <c r="G536">
        <v>1.92</v>
      </c>
    </row>
    <row r="537" spans="1:7" x14ac:dyDescent="0.25">
      <c r="A537">
        <v>2000</v>
      </c>
      <c r="B537" t="s">
        <v>302</v>
      </c>
      <c r="C537">
        <v>40</v>
      </c>
      <c r="D537">
        <v>442</v>
      </c>
      <c r="E537">
        <v>78</v>
      </c>
      <c r="F537">
        <v>137</v>
      </c>
      <c r="G537">
        <v>3.15</v>
      </c>
    </row>
    <row r="538" spans="1:7" x14ac:dyDescent="0.25">
      <c r="A538">
        <v>2000</v>
      </c>
      <c r="B538" t="s">
        <v>117</v>
      </c>
      <c r="C538">
        <v>600</v>
      </c>
      <c r="D538">
        <v>3840</v>
      </c>
      <c r="E538">
        <v>68</v>
      </c>
      <c r="F538">
        <v>128</v>
      </c>
      <c r="G538">
        <v>2.2000000000000002</v>
      </c>
    </row>
    <row r="539" spans="1:7" x14ac:dyDescent="0.25">
      <c r="A539">
        <v>2001</v>
      </c>
      <c r="B539" t="s">
        <v>237</v>
      </c>
      <c r="C539">
        <v>210</v>
      </c>
      <c r="D539">
        <v>5968</v>
      </c>
      <c r="E539">
        <v>98</v>
      </c>
      <c r="F539">
        <v>142</v>
      </c>
      <c r="G539">
        <v>3.06</v>
      </c>
    </row>
    <row r="540" spans="1:7" x14ac:dyDescent="0.25">
      <c r="A540">
        <v>2001</v>
      </c>
      <c r="B540" t="s">
        <v>238</v>
      </c>
      <c r="C540">
        <v>44</v>
      </c>
      <c r="D540">
        <v>767</v>
      </c>
      <c r="E540">
        <v>92</v>
      </c>
      <c r="F540">
        <v>140</v>
      </c>
      <c r="G540">
        <v>3.05</v>
      </c>
    </row>
    <row r="541" spans="1:7" x14ac:dyDescent="0.25">
      <c r="A541">
        <v>2001</v>
      </c>
      <c r="B541" t="s">
        <v>239</v>
      </c>
      <c r="C541">
        <v>150</v>
      </c>
      <c r="D541">
        <v>2557</v>
      </c>
      <c r="E541">
        <v>91</v>
      </c>
      <c r="F541">
        <v>133</v>
      </c>
      <c r="G541">
        <v>3.03</v>
      </c>
    </row>
    <row r="542" spans="1:7" x14ac:dyDescent="0.25">
      <c r="A542">
        <v>2001</v>
      </c>
      <c r="B542" t="s">
        <v>240</v>
      </c>
      <c r="C542">
        <v>30</v>
      </c>
      <c r="D542">
        <v>532</v>
      </c>
      <c r="E542">
        <v>90</v>
      </c>
      <c r="F542">
        <v>133</v>
      </c>
      <c r="G542">
        <v>3.1</v>
      </c>
    </row>
    <row r="543" spans="1:7" x14ac:dyDescent="0.25">
      <c r="A543">
        <v>2001</v>
      </c>
      <c r="B543" t="s">
        <v>241</v>
      </c>
      <c r="C543">
        <v>15</v>
      </c>
      <c r="D543">
        <v>426</v>
      </c>
      <c r="E543">
        <v>87</v>
      </c>
      <c r="F543">
        <v>120</v>
      </c>
      <c r="G543">
        <v>3.07</v>
      </c>
    </row>
    <row r="544" spans="1:7" x14ac:dyDescent="0.25">
      <c r="A544">
        <v>2001</v>
      </c>
      <c r="B544" t="s">
        <v>242</v>
      </c>
      <c r="C544">
        <v>10</v>
      </c>
      <c r="D544">
        <v>235</v>
      </c>
      <c r="E544">
        <v>79</v>
      </c>
      <c r="F544">
        <v>101</v>
      </c>
      <c r="G544">
        <v>3.1</v>
      </c>
    </row>
    <row r="545" spans="1:7" x14ac:dyDescent="0.25">
      <c r="A545">
        <v>2001</v>
      </c>
      <c r="B545" t="s">
        <v>243</v>
      </c>
      <c r="C545">
        <v>30</v>
      </c>
      <c r="D545">
        <v>128</v>
      </c>
      <c r="E545">
        <v>80</v>
      </c>
      <c r="F545">
        <v>125</v>
      </c>
      <c r="G545">
        <v>2</v>
      </c>
    </row>
    <row r="546" spans="1:7" x14ac:dyDescent="0.25">
      <c r="A546">
        <v>2001</v>
      </c>
      <c r="B546" t="s">
        <v>244</v>
      </c>
      <c r="C546">
        <v>35</v>
      </c>
      <c r="D546">
        <v>419</v>
      </c>
      <c r="E546">
        <v>69</v>
      </c>
      <c r="F546">
        <v>108</v>
      </c>
      <c r="G546">
        <v>2.97</v>
      </c>
    </row>
    <row r="547" spans="1:7" x14ac:dyDescent="0.25">
      <c r="A547">
        <v>2001</v>
      </c>
      <c r="B547" t="s">
        <v>245</v>
      </c>
      <c r="C547">
        <v>150</v>
      </c>
      <c r="D547">
        <v>1646</v>
      </c>
      <c r="E547">
        <v>74</v>
      </c>
      <c r="F547">
        <v>120</v>
      </c>
      <c r="G547">
        <v>2.9</v>
      </c>
    </row>
    <row r="548" spans="1:7" x14ac:dyDescent="0.25">
      <c r="A548">
        <v>2001</v>
      </c>
      <c r="B548" t="s">
        <v>246</v>
      </c>
      <c r="C548">
        <v>40</v>
      </c>
      <c r="D548">
        <v>370</v>
      </c>
      <c r="E548">
        <v>75</v>
      </c>
      <c r="F548">
        <v>115</v>
      </c>
      <c r="G548">
        <v>2.88</v>
      </c>
    </row>
    <row r="549" spans="1:7" x14ac:dyDescent="0.25">
      <c r="A549">
        <v>2001</v>
      </c>
      <c r="B549" t="s">
        <v>247</v>
      </c>
      <c r="C549">
        <v>210</v>
      </c>
      <c r="D549">
        <v>1999</v>
      </c>
      <c r="E549">
        <v>80</v>
      </c>
      <c r="F549">
        <v>132</v>
      </c>
      <c r="G549">
        <v>2.9</v>
      </c>
    </row>
    <row r="550" spans="1:7" x14ac:dyDescent="0.25">
      <c r="A550">
        <v>2001</v>
      </c>
      <c r="B550" t="s">
        <v>248</v>
      </c>
      <c r="C550">
        <v>35</v>
      </c>
      <c r="D550">
        <v>1254</v>
      </c>
      <c r="E550">
        <v>100</v>
      </c>
      <c r="F550">
        <v>137</v>
      </c>
      <c r="G550">
        <v>3.09</v>
      </c>
    </row>
    <row r="551" spans="1:7" x14ac:dyDescent="0.25">
      <c r="A551">
        <v>2001</v>
      </c>
      <c r="B551" t="s">
        <v>249</v>
      </c>
      <c r="C551">
        <v>460</v>
      </c>
      <c r="D551">
        <v>12195</v>
      </c>
      <c r="E551">
        <v>101</v>
      </c>
      <c r="F551">
        <v>143</v>
      </c>
      <c r="G551">
        <v>3.16</v>
      </c>
    </row>
    <row r="552" spans="1:7" x14ac:dyDescent="0.25">
      <c r="A552">
        <v>2001</v>
      </c>
      <c r="B552" t="s">
        <v>250</v>
      </c>
      <c r="C552">
        <v>180</v>
      </c>
      <c r="D552">
        <v>1847</v>
      </c>
      <c r="E552">
        <v>88</v>
      </c>
      <c r="F552">
        <v>138</v>
      </c>
      <c r="G552">
        <v>3.08</v>
      </c>
    </row>
    <row r="553" spans="1:7" x14ac:dyDescent="0.25">
      <c r="A553">
        <v>2001</v>
      </c>
      <c r="B553" t="s">
        <v>251</v>
      </c>
      <c r="C553">
        <v>20</v>
      </c>
      <c r="D553">
        <v>137</v>
      </c>
      <c r="E553">
        <v>77</v>
      </c>
      <c r="F553">
        <v>111</v>
      </c>
      <c r="G553">
        <v>2.4</v>
      </c>
    </row>
    <row r="554" spans="1:7" x14ac:dyDescent="0.25">
      <c r="A554">
        <v>2001</v>
      </c>
      <c r="B554" t="s">
        <v>252</v>
      </c>
      <c r="C554">
        <v>40</v>
      </c>
      <c r="D554">
        <v>363</v>
      </c>
      <c r="E554">
        <v>84</v>
      </c>
      <c r="F554">
        <v>128</v>
      </c>
      <c r="G554">
        <v>2.9</v>
      </c>
    </row>
    <row r="555" spans="1:7" x14ac:dyDescent="0.25">
      <c r="A555">
        <v>2001</v>
      </c>
      <c r="B555" t="s">
        <v>253</v>
      </c>
      <c r="C555">
        <v>15</v>
      </c>
      <c r="D555">
        <v>341</v>
      </c>
      <c r="E555">
        <v>98</v>
      </c>
      <c r="F555">
        <v>130</v>
      </c>
      <c r="G555">
        <v>3</v>
      </c>
    </row>
    <row r="556" spans="1:7" x14ac:dyDescent="0.25">
      <c r="A556">
        <v>2001</v>
      </c>
      <c r="B556" t="s">
        <v>254</v>
      </c>
      <c r="C556">
        <v>170</v>
      </c>
      <c r="D556">
        <v>804</v>
      </c>
      <c r="E556">
        <v>71</v>
      </c>
      <c r="F556">
        <v>123</v>
      </c>
      <c r="G556">
        <v>1.85</v>
      </c>
    </row>
    <row r="557" spans="1:7" x14ac:dyDescent="0.25">
      <c r="A557">
        <v>2001</v>
      </c>
      <c r="B557" t="s">
        <v>255</v>
      </c>
      <c r="C557">
        <v>160</v>
      </c>
      <c r="D557">
        <v>1214</v>
      </c>
      <c r="E557">
        <v>73</v>
      </c>
      <c r="F557">
        <v>133</v>
      </c>
      <c r="G557">
        <v>2.5099999999999998</v>
      </c>
    </row>
    <row r="558" spans="1:7" x14ac:dyDescent="0.25">
      <c r="A558">
        <v>2001</v>
      </c>
      <c r="B558" t="s">
        <v>256</v>
      </c>
      <c r="C558">
        <v>270</v>
      </c>
      <c r="D558">
        <v>2495</v>
      </c>
      <c r="E558">
        <v>75</v>
      </c>
      <c r="F558">
        <v>128</v>
      </c>
      <c r="G558">
        <v>2.73</v>
      </c>
    </row>
    <row r="559" spans="1:7" x14ac:dyDescent="0.25">
      <c r="A559">
        <v>2001</v>
      </c>
      <c r="B559" t="s">
        <v>257</v>
      </c>
      <c r="C559">
        <v>50</v>
      </c>
      <c r="D559">
        <v>2700</v>
      </c>
      <c r="E559">
        <v>107</v>
      </c>
      <c r="F559">
        <v>140</v>
      </c>
      <c r="G559">
        <v>3</v>
      </c>
    </row>
    <row r="560" spans="1:7" x14ac:dyDescent="0.25">
      <c r="A560">
        <v>2001</v>
      </c>
      <c r="B560" t="s">
        <v>258</v>
      </c>
      <c r="C560">
        <v>849</v>
      </c>
      <c r="D560">
        <v>6987</v>
      </c>
      <c r="E560">
        <v>66</v>
      </c>
      <c r="F560">
        <v>136</v>
      </c>
      <c r="G560">
        <v>2.42</v>
      </c>
    </row>
    <row r="561" spans="1:7" x14ac:dyDescent="0.25">
      <c r="A561">
        <v>2001</v>
      </c>
      <c r="B561" t="s">
        <v>259</v>
      </c>
      <c r="C561">
        <v>30</v>
      </c>
      <c r="D561">
        <v>108</v>
      </c>
      <c r="E561">
        <v>67</v>
      </c>
      <c r="F561">
        <v>127</v>
      </c>
      <c r="G561">
        <v>1.57</v>
      </c>
    </row>
    <row r="562" spans="1:7" x14ac:dyDescent="0.25">
      <c r="A562">
        <v>2001</v>
      </c>
      <c r="B562" t="s">
        <v>303</v>
      </c>
      <c r="C562">
        <v>33</v>
      </c>
      <c r="D562">
        <v>1344</v>
      </c>
      <c r="E562">
        <v>67</v>
      </c>
      <c r="F562">
        <v>109</v>
      </c>
      <c r="G562">
        <v>3.21</v>
      </c>
    </row>
    <row r="563" spans="1:7" x14ac:dyDescent="0.25">
      <c r="A563">
        <v>2001</v>
      </c>
      <c r="B563" t="s">
        <v>304</v>
      </c>
      <c r="C563">
        <v>187</v>
      </c>
      <c r="D563">
        <v>4867</v>
      </c>
      <c r="E563">
        <v>69</v>
      </c>
      <c r="F563">
        <v>128</v>
      </c>
      <c r="G563">
        <v>3.23</v>
      </c>
    </row>
    <row r="564" spans="1:7" x14ac:dyDescent="0.25">
      <c r="A564">
        <v>2001</v>
      </c>
      <c r="B564" t="s">
        <v>262</v>
      </c>
      <c r="C564">
        <v>180</v>
      </c>
      <c r="D564">
        <v>2052</v>
      </c>
      <c r="E564">
        <v>64</v>
      </c>
      <c r="F564">
        <v>134</v>
      </c>
      <c r="G564">
        <v>2.66</v>
      </c>
    </row>
    <row r="565" spans="1:7" x14ac:dyDescent="0.25">
      <c r="A565">
        <v>2001</v>
      </c>
      <c r="B565" t="s">
        <v>263</v>
      </c>
      <c r="C565">
        <v>50</v>
      </c>
      <c r="D565">
        <v>3551</v>
      </c>
      <c r="E565">
        <v>103</v>
      </c>
      <c r="F565">
        <v>125</v>
      </c>
      <c r="G565">
        <v>3.12</v>
      </c>
    </row>
    <row r="566" spans="1:7" x14ac:dyDescent="0.25">
      <c r="A566">
        <v>2001</v>
      </c>
      <c r="B566" t="s">
        <v>264</v>
      </c>
      <c r="C566">
        <v>50</v>
      </c>
      <c r="D566">
        <v>1445</v>
      </c>
      <c r="E566">
        <v>91</v>
      </c>
      <c r="F566">
        <v>127</v>
      </c>
      <c r="G566">
        <v>3.12</v>
      </c>
    </row>
    <row r="567" spans="1:7" x14ac:dyDescent="0.25">
      <c r="A567">
        <v>2001</v>
      </c>
      <c r="B567" t="s">
        <v>265</v>
      </c>
      <c r="C567">
        <v>30</v>
      </c>
      <c r="D567">
        <v>1665</v>
      </c>
      <c r="E567">
        <v>94</v>
      </c>
      <c r="F567">
        <v>128</v>
      </c>
      <c r="G567">
        <v>3.17</v>
      </c>
    </row>
    <row r="568" spans="1:7" x14ac:dyDescent="0.25">
      <c r="A568">
        <v>2001</v>
      </c>
      <c r="B568" t="s">
        <v>305</v>
      </c>
      <c r="C568">
        <v>600</v>
      </c>
      <c r="D568">
        <v>7056</v>
      </c>
      <c r="E568">
        <v>67</v>
      </c>
      <c r="F568">
        <v>132</v>
      </c>
      <c r="G568">
        <v>2.81</v>
      </c>
    </row>
    <row r="569" spans="1:7" x14ac:dyDescent="0.25">
      <c r="A569">
        <v>2001</v>
      </c>
      <c r="B569" t="s">
        <v>266</v>
      </c>
      <c r="C569">
        <v>120</v>
      </c>
      <c r="D569">
        <v>2936</v>
      </c>
      <c r="E569">
        <v>100</v>
      </c>
      <c r="F569">
        <v>144</v>
      </c>
      <c r="G569">
        <v>3.07</v>
      </c>
    </row>
    <row r="570" spans="1:7" x14ac:dyDescent="0.25">
      <c r="A570">
        <v>2001</v>
      </c>
      <c r="B570" t="s">
        <v>267</v>
      </c>
      <c r="C570">
        <v>40</v>
      </c>
      <c r="D570">
        <v>882</v>
      </c>
      <c r="E570">
        <v>97</v>
      </c>
      <c r="F570">
        <v>133</v>
      </c>
      <c r="G570">
        <v>3.48</v>
      </c>
    </row>
    <row r="571" spans="1:7" x14ac:dyDescent="0.25">
      <c r="A571">
        <v>2001</v>
      </c>
      <c r="B571" t="s">
        <v>268</v>
      </c>
      <c r="C571">
        <v>30</v>
      </c>
      <c r="D571">
        <v>554</v>
      </c>
      <c r="E571">
        <v>98</v>
      </c>
      <c r="F571">
        <v>139</v>
      </c>
      <c r="G571">
        <v>3.13</v>
      </c>
    </row>
    <row r="572" spans="1:7" x14ac:dyDescent="0.25">
      <c r="A572">
        <v>2001</v>
      </c>
      <c r="B572" t="s">
        <v>269</v>
      </c>
      <c r="C572">
        <v>50</v>
      </c>
      <c r="D572">
        <v>1507</v>
      </c>
      <c r="E572">
        <v>79</v>
      </c>
      <c r="F572">
        <v>121</v>
      </c>
      <c r="G572">
        <v>3.24</v>
      </c>
    </row>
    <row r="573" spans="1:7" x14ac:dyDescent="0.25">
      <c r="A573">
        <v>2001</v>
      </c>
      <c r="B573" t="s">
        <v>270</v>
      </c>
      <c r="C573">
        <v>160</v>
      </c>
      <c r="D573">
        <v>2537</v>
      </c>
      <c r="E573">
        <v>74</v>
      </c>
      <c r="F573">
        <v>116</v>
      </c>
      <c r="G573">
        <v>3.15</v>
      </c>
    </row>
    <row r="574" spans="1:7" x14ac:dyDescent="0.25">
      <c r="A574">
        <v>2001</v>
      </c>
      <c r="B574" t="s">
        <v>271</v>
      </c>
      <c r="C574">
        <v>80</v>
      </c>
      <c r="D574">
        <v>693</v>
      </c>
      <c r="E574">
        <v>72</v>
      </c>
      <c r="F574">
        <v>118</v>
      </c>
      <c r="G574">
        <v>2.5099999999999998</v>
      </c>
    </row>
    <row r="575" spans="1:7" x14ac:dyDescent="0.25">
      <c r="A575">
        <v>2001</v>
      </c>
      <c r="B575" t="s">
        <v>272</v>
      </c>
      <c r="C575">
        <v>200</v>
      </c>
      <c r="D575">
        <v>1492</v>
      </c>
      <c r="E575">
        <v>75</v>
      </c>
      <c r="F575">
        <v>125</v>
      </c>
      <c r="G575">
        <v>2.5099999999999998</v>
      </c>
    </row>
    <row r="576" spans="1:7" x14ac:dyDescent="0.25">
      <c r="A576">
        <v>2001</v>
      </c>
      <c r="B576" t="s">
        <v>306</v>
      </c>
      <c r="C576">
        <v>40</v>
      </c>
      <c r="D576">
        <v>431</v>
      </c>
      <c r="E576">
        <v>77</v>
      </c>
      <c r="F576">
        <v>126</v>
      </c>
      <c r="G576">
        <v>3.05</v>
      </c>
    </row>
    <row r="577" spans="1:7" x14ac:dyDescent="0.25">
      <c r="A577">
        <v>2001</v>
      </c>
      <c r="B577" t="s">
        <v>307</v>
      </c>
      <c r="C577">
        <v>50</v>
      </c>
      <c r="D577">
        <v>962</v>
      </c>
      <c r="E577">
        <v>79</v>
      </c>
      <c r="F577">
        <v>117</v>
      </c>
      <c r="G577">
        <v>3.2</v>
      </c>
    </row>
    <row r="578" spans="1:7" x14ac:dyDescent="0.25">
      <c r="A578">
        <v>2001</v>
      </c>
      <c r="B578" t="s">
        <v>308</v>
      </c>
      <c r="C578">
        <v>50</v>
      </c>
      <c r="D578">
        <v>793</v>
      </c>
      <c r="E578">
        <v>96</v>
      </c>
      <c r="F578">
        <v>130</v>
      </c>
      <c r="G578">
        <v>3</v>
      </c>
    </row>
    <row r="579" spans="1:7" x14ac:dyDescent="0.25">
      <c r="A579">
        <v>2001</v>
      </c>
      <c r="B579" t="s">
        <v>275</v>
      </c>
      <c r="C579">
        <v>144</v>
      </c>
      <c r="D579">
        <v>2324</v>
      </c>
      <c r="E579">
        <v>93</v>
      </c>
      <c r="F579">
        <v>142</v>
      </c>
      <c r="G579">
        <v>3.1</v>
      </c>
    </row>
    <row r="580" spans="1:7" x14ac:dyDescent="0.25">
      <c r="A580">
        <v>2001</v>
      </c>
      <c r="B580" t="s">
        <v>309</v>
      </c>
      <c r="C580">
        <v>25</v>
      </c>
      <c r="D580">
        <v>1681</v>
      </c>
      <c r="E580">
        <v>101</v>
      </c>
      <c r="F580">
        <v>134</v>
      </c>
      <c r="G580">
        <v>3.12</v>
      </c>
    </row>
    <row r="581" spans="1:7" x14ac:dyDescent="0.25">
      <c r="A581">
        <v>2001</v>
      </c>
      <c r="B581" t="s">
        <v>310</v>
      </c>
      <c r="C581">
        <v>58</v>
      </c>
      <c r="D581">
        <v>900</v>
      </c>
      <c r="E581">
        <v>80</v>
      </c>
      <c r="F581">
        <v>121</v>
      </c>
      <c r="G581">
        <v>3</v>
      </c>
    </row>
    <row r="582" spans="1:7" x14ac:dyDescent="0.25">
      <c r="A582">
        <v>2001</v>
      </c>
      <c r="B582" t="s">
        <v>311</v>
      </c>
      <c r="C582">
        <v>25</v>
      </c>
      <c r="D582">
        <v>217</v>
      </c>
      <c r="E582">
        <v>70</v>
      </c>
      <c r="F582">
        <v>104</v>
      </c>
      <c r="G582">
        <v>2.6</v>
      </c>
    </row>
    <row r="583" spans="1:7" x14ac:dyDescent="0.25">
      <c r="A583">
        <v>2001</v>
      </c>
      <c r="B583" t="s">
        <v>312</v>
      </c>
      <c r="C583">
        <v>485</v>
      </c>
      <c r="D583">
        <v>13660</v>
      </c>
      <c r="E583">
        <v>118</v>
      </c>
      <c r="F583">
        <v>146</v>
      </c>
      <c r="G583">
        <v>3.16</v>
      </c>
    </row>
    <row r="584" spans="1:7" x14ac:dyDescent="0.25">
      <c r="A584">
        <v>2001</v>
      </c>
      <c r="B584" t="s">
        <v>313</v>
      </c>
      <c r="C584">
        <v>80</v>
      </c>
      <c r="D584">
        <v>2493</v>
      </c>
      <c r="E584">
        <v>96</v>
      </c>
      <c r="F584">
        <v>127</v>
      </c>
      <c r="G584">
        <v>3.15</v>
      </c>
    </row>
    <row r="585" spans="1:7" x14ac:dyDescent="0.25">
      <c r="A585">
        <v>2001</v>
      </c>
      <c r="B585" t="s">
        <v>314</v>
      </c>
      <c r="C585">
        <v>80</v>
      </c>
      <c r="D585">
        <v>1584</v>
      </c>
      <c r="E585">
        <v>80</v>
      </c>
      <c r="F585">
        <v>133</v>
      </c>
      <c r="G585">
        <v>3.04</v>
      </c>
    </row>
    <row r="586" spans="1:7" x14ac:dyDescent="0.25">
      <c r="A586">
        <v>2001</v>
      </c>
      <c r="B586" t="s">
        <v>315</v>
      </c>
      <c r="C586">
        <v>133</v>
      </c>
      <c r="D586">
        <v>1872</v>
      </c>
      <c r="E586">
        <v>84</v>
      </c>
      <c r="F586">
        <v>127</v>
      </c>
      <c r="G586">
        <v>3.09</v>
      </c>
    </row>
    <row r="587" spans="1:7" x14ac:dyDescent="0.25">
      <c r="A587">
        <v>2001</v>
      </c>
      <c r="B587" t="s">
        <v>316</v>
      </c>
      <c r="C587">
        <v>50</v>
      </c>
      <c r="D587">
        <v>395</v>
      </c>
      <c r="E587">
        <v>83</v>
      </c>
      <c r="F587">
        <v>121</v>
      </c>
      <c r="G587">
        <v>2.72</v>
      </c>
    </row>
    <row r="588" spans="1:7" x14ac:dyDescent="0.25">
      <c r="A588">
        <v>2001</v>
      </c>
      <c r="B588" t="s">
        <v>317</v>
      </c>
      <c r="C588">
        <v>80</v>
      </c>
      <c r="D588">
        <v>1116</v>
      </c>
      <c r="E588">
        <v>86</v>
      </c>
      <c r="F588">
        <v>120</v>
      </c>
      <c r="G588">
        <v>3.16</v>
      </c>
    </row>
    <row r="589" spans="1:7" x14ac:dyDescent="0.25">
      <c r="A589">
        <v>2001</v>
      </c>
      <c r="B589" t="s">
        <v>318</v>
      </c>
      <c r="C589">
        <v>70</v>
      </c>
      <c r="D589">
        <v>2294</v>
      </c>
      <c r="E589">
        <v>95</v>
      </c>
      <c r="F589">
        <v>130</v>
      </c>
      <c r="G589">
        <v>3.13</v>
      </c>
    </row>
    <row r="590" spans="1:7" x14ac:dyDescent="0.25">
      <c r="A590">
        <v>2001</v>
      </c>
      <c r="B590" t="s">
        <v>319</v>
      </c>
      <c r="C590">
        <v>40</v>
      </c>
      <c r="D590">
        <v>1206</v>
      </c>
      <c r="E590">
        <v>95</v>
      </c>
      <c r="F590">
        <v>123</v>
      </c>
      <c r="G590">
        <v>3.05</v>
      </c>
    </row>
    <row r="591" spans="1:7" x14ac:dyDescent="0.25">
      <c r="A591">
        <v>2001</v>
      </c>
      <c r="B591" t="s">
        <v>320</v>
      </c>
      <c r="C591">
        <v>20</v>
      </c>
      <c r="D591">
        <v>195</v>
      </c>
      <c r="E591">
        <v>71</v>
      </c>
      <c r="F591">
        <v>108</v>
      </c>
      <c r="G591">
        <v>2.75</v>
      </c>
    </row>
    <row r="592" spans="1:7" x14ac:dyDescent="0.25">
      <c r="A592">
        <v>2001</v>
      </c>
      <c r="B592" t="s">
        <v>321</v>
      </c>
      <c r="C592">
        <v>25</v>
      </c>
      <c r="D592">
        <v>783</v>
      </c>
      <c r="E592">
        <v>90</v>
      </c>
      <c r="F592">
        <v>114</v>
      </c>
      <c r="G592">
        <v>3.04</v>
      </c>
    </row>
    <row r="593" spans="1:7" x14ac:dyDescent="0.25">
      <c r="A593">
        <v>2001</v>
      </c>
      <c r="B593" t="s">
        <v>322</v>
      </c>
      <c r="C593">
        <v>40</v>
      </c>
      <c r="D593">
        <v>580</v>
      </c>
      <c r="E593">
        <v>80</v>
      </c>
      <c r="F593">
        <v>120</v>
      </c>
      <c r="G593">
        <v>3.13</v>
      </c>
    </row>
    <row r="594" spans="1:7" x14ac:dyDescent="0.25">
      <c r="A594">
        <v>2001</v>
      </c>
      <c r="B594" t="s">
        <v>323</v>
      </c>
      <c r="C594">
        <v>40</v>
      </c>
      <c r="D594">
        <v>447</v>
      </c>
      <c r="E594">
        <v>72</v>
      </c>
      <c r="F594">
        <v>109</v>
      </c>
      <c r="G594">
        <v>3.03</v>
      </c>
    </row>
    <row r="595" spans="1:7" x14ac:dyDescent="0.25">
      <c r="A595">
        <v>2001</v>
      </c>
      <c r="B595" t="s">
        <v>324</v>
      </c>
      <c r="C595">
        <v>40</v>
      </c>
      <c r="D595">
        <v>548</v>
      </c>
      <c r="E595">
        <v>85</v>
      </c>
      <c r="F595">
        <v>123</v>
      </c>
      <c r="G595">
        <v>3.23</v>
      </c>
    </row>
    <row r="596" spans="1:7" x14ac:dyDescent="0.25">
      <c r="A596">
        <v>2001</v>
      </c>
      <c r="B596" t="s">
        <v>325</v>
      </c>
      <c r="C596">
        <v>600</v>
      </c>
      <c r="D596">
        <v>6361</v>
      </c>
      <c r="E596">
        <v>66</v>
      </c>
      <c r="F596">
        <v>128</v>
      </c>
      <c r="G596">
        <v>2.77</v>
      </c>
    </row>
    <row r="597" spans="1:7" x14ac:dyDescent="0.25">
      <c r="A597">
        <v>2001</v>
      </c>
      <c r="B597" t="s">
        <v>290</v>
      </c>
      <c r="C597">
        <v>70</v>
      </c>
      <c r="D597">
        <v>377</v>
      </c>
      <c r="E597">
        <v>72</v>
      </c>
      <c r="F597">
        <v>143</v>
      </c>
      <c r="G597">
        <v>2.04</v>
      </c>
    </row>
    <row r="598" spans="1:7" x14ac:dyDescent="0.25">
      <c r="A598">
        <v>2001</v>
      </c>
      <c r="B598" t="s">
        <v>326</v>
      </c>
      <c r="C598">
        <v>40</v>
      </c>
      <c r="D598">
        <v>1210</v>
      </c>
      <c r="E598">
        <v>105</v>
      </c>
      <c r="F598">
        <v>139</v>
      </c>
      <c r="G598">
        <v>3.13</v>
      </c>
    </row>
    <row r="599" spans="1:7" x14ac:dyDescent="0.25">
      <c r="A599">
        <v>2001</v>
      </c>
      <c r="B599" t="s">
        <v>327</v>
      </c>
      <c r="C599">
        <v>874</v>
      </c>
      <c r="D599">
        <v>11744</v>
      </c>
      <c r="E599">
        <v>95</v>
      </c>
      <c r="F599">
        <v>150</v>
      </c>
      <c r="G599">
        <v>3.06</v>
      </c>
    </row>
    <row r="600" spans="1:7" x14ac:dyDescent="0.25">
      <c r="A600">
        <v>2001</v>
      </c>
      <c r="B600" t="s">
        <v>293</v>
      </c>
      <c r="C600">
        <v>60</v>
      </c>
      <c r="D600">
        <v>582</v>
      </c>
      <c r="E600">
        <v>81</v>
      </c>
      <c r="F600">
        <v>124</v>
      </c>
      <c r="G600">
        <v>2.97</v>
      </c>
    </row>
    <row r="601" spans="1:7" x14ac:dyDescent="0.25">
      <c r="A601">
        <v>2001</v>
      </c>
      <c r="B601" t="s">
        <v>294</v>
      </c>
      <c r="C601">
        <v>130</v>
      </c>
      <c r="D601">
        <v>2439</v>
      </c>
      <c r="E601">
        <v>96</v>
      </c>
      <c r="F601">
        <v>138</v>
      </c>
      <c r="G601">
        <v>3.13</v>
      </c>
    </row>
    <row r="602" spans="1:7" x14ac:dyDescent="0.25">
      <c r="A602">
        <v>2001</v>
      </c>
      <c r="B602" t="s">
        <v>295</v>
      </c>
      <c r="C602">
        <v>40</v>
      </c>
      <c r="D602">
        <v>326</v>
      </c>
      <c r="E602">
        <v>88</v>
      </c>
      <c r="F602">
        <v>135</v>
      </c>
      <c r="G602">
        <v>2.95</v>
      </c>
    </row>
    <row r="603" spans="1:7" x14ac:dyDescent="0.25">
      <c r="A603">
        <v>2001</v>
      </c>
      <c r="B603" t="s">
        <v>296</v>
      </c>
      <c r="C603">
        <v>220</v>
      </c>
      <c r="D603">
        <v>1378</v>
      </c>
      <c r="E603">
        <v>80</v>
      </c>
      <c r="F603">
        <v>141</v>
      </c>
      <c r="G603">
        <v>2.35</v>
      </c>
    </row>
    <row r="604" spans="1:7" x14ac:dyDescent="0.25">
      <c r="A604">
        <v>2001</v>
      </c>
      <c r="B604" t="s">
        <v>328</v>
      </c>
      <c r="C604">
        <v>40</v>
      </c>
      <c r="D604">
        <v>375</v>
      </c>
      <c r="E604">
        <v>75</v>
      </c>
      <c r="F604">
        <v>138</v>
      </c>
      <c r="G604">
        <v>2.7</v>
      </c>
    </row>
    <row r="605" spans="1:7" x14ac:dyDescent="0.25">
      <c r="A605">
        <v>2001</v>
      </c>
      <c r="B605" t="s">
        <v>329</v>
      </c>
      <c r="C605">
        <v>50</v>
      </c>
      <c r="D605">
        <v>209</v>
      </c>
      <c r="E605">
        <v>65</v>
      </c>
      <c r="F605">
        <v>104</v>
      </c>
      <c r="G605">
        <v>1.72</v>
      </c>
    </row>
    <row r="606" spans="1:7" x14ac:dyDescent="0.25">
      <c r="A606">
        <v>2001</v>
      </c>
      <c r="B606" t="s">
        <v>330</v>
      </c>
      <c r="C606">
        <v>260</v>
      </c>
      <c r="D606">
        <v>1686</v>
      </c>
      <c r="E606">
        <v>69</v>
      </c>
      <c r="F606">
        <v>138</v>
      </c>
      <c r="G606">
        <v>2.11</v>
      </c>
    </row>
    <row r="607" spans="1:7" x14ac:dyDescent="0.25">
      <c r="A607">
        <v>2001</v>
      </c>
      <c r="B607" t="s">
        <v>331</v>
      </c>
      <c r="C607">
        <v>35</v>
      </c>
      <c r="D607">
        <v>247</v>
      </c>
      <c r="E607">
        <v>78</v>
      </c>
      <c r="F607">
        <v>138</v>
      </c>
      <c r="G607">
        <v>2.5099999999999998</v>
      </c>
    </row>
    <row r="608" spans="1:7" x14ac:dyDescent="0.25">
      <c r="A608">
        <v>2001</v>
      </c>
      <c r="B608" t="s">
        <v>332</v>
      </c>
      <c r="C608">
        <v>60</v>
      </c>
      <c r="D608">
        <v>663</v>
      </c>
      <c r="E608">
        <v>84</v>
      </c>
      <c r="F608">
        <v>130</v>
      </c>
      <c r="G608">
        <v>3.13</v>
      </c>
    </row>
    <row r="609" spans="1:7" x14ac:dyDescent="0.25">
      <c r="A609">
        <v>2001</v>
      </c>
      <c r="B609" t="s">
        <v>333</v>
      </c>
      <c r="C609">
        <v>40</v>
      </c>
      <c r="D609">
        <v>473</v>
      </c>
      <c r="E609">
        <v>80</v>
      </c>
      <c r="F609">
        <v>115</v>
      </c>
      <c r="G609">
        <v>3.25</v>
      </c>
    </row>
    <row r="610" spans="1:7" x14ac:dyDescent="0.25">
      <c r="A610">
        <v>2001</v>
      </c>
      <c r="B610" t="s">
        <v>334</v>
      </c>
      <c r="C610">
        <v>40</v>
      </c>
      <c r="D610">
        <v>251</v>
      </c>
      <c r="E610">
        <v>78</v>
      </c>
      <c r="F610">
        <v>112</v>
      </c>
      <c r="G610">
        <v>2.38</v>
      </c>
    </row>
    <row r="611" spans="1:7" x14ac:dyDescent="0.25">
      <c r="A611">
        <v>2001</v>
      </c>
      <c r="B611" t="s">
        <v>335</v>
      </c>
      <c r="C611">
        <v>600</v>
      </c>
      <c r="D611">
        <v>3583</v>
      </c>
      <c r="E611">
        <v>68</v>
      </c>
      <c r="F611">
        <v>134</v>
      </c>
      <c r="G611">
        <v>2.06</v>
      </c>
    </row>
    <row r="612" spans="1:7" x14ac:dyDescent="0.25">
      <c r="A612">
        <v>2002</v>
      </c>
      <c r="B612" t="s">
        <v>336</v>
      </c>
      <c r="C612">
        <v>44</v>
      </c>
      <c r="D612">
        <v>822</v>
      </c>
      <c r="E612">
        <v>89</v>
      </c>
      <c r="F612">
        <v>131</v>
      </c>
      <c r="G612">
        <v>3.18</v>
      </c>
    </row>
    <row r="613" spans="1:7" x14ac:dyDescent="0.25">
      <c r="A613">
        <v>2002</v>
      </c>
      <c r="B613" t="s">
        <v>337</v>
      </c>
      <c r="C613">
        <v>210</v>
      </c>
      <c r="D613">
        <v>5575</v>
      </c>
      <c r="E613">
        <v>95</v>
      </c>
      <c r="F613">
        <v>138</v>
      </c>
      <c r="G613">
        <v>3.22</v>
      </c>
    </row>
    <row r="614" spans="1:7" x14ac:dyDescent="0.25">
      <c r="A614">
        <v>2002</v>
      </c>
      <c r="B614" t="s">
        <v>338</v>
      </c>
      <c r="C614">
        <v>150</v>
      </c>
      <c r="D614">
        <v>2376</v>
      </c>
      <c r="E614">
        <v>89</v>
      </c>
      <c r="F614">
        <v>140</v>
      </c>
      <c r="G614">
        <v>3.13</v>
      </c>
    </row>
    <row r="615" spans="1:7" x14ac:dyDescent="0.25">
      <c r="A615">
        <v>2002</v>
      </c>
      <c r="B615" t="s">
        <v>339</v>
      </c>
      <c r="C615">
        <v>30</v>
      </c>
      <c r="D615">
        <v>460</v>
      </c>
      <c r="E615">
        <v>86</v>
      </c>
      <c r="F615">
        <v>120</v>
      </c>
      <c r="G615">
        <v>3.3</v>
      </c>
    </row>
    <row r="616" spans="1:7" x14ac:dyDescent="0.25">
      <c r="A616">
        <v>2002</v>
      </c>
      <c r="B616" t="s">
        <v>340</v>
      </c>
      <c r="C616">
        <v>15</v>
      </c>
      <c r="D616">
        <v>582</v>
      </c>
      <c r="E616">
        <v>89</v>
      </c>
      <c r="F616">
        <v>114</v>
      </c>
      <c r="G616">
        <v>3.4</v>
      </c>
    </row>
    <row r="617" spans="1:7" x14ac:dyDescent="0.25">
      <c r="A617">
        <v>2002</v>
      </c>
      <c r="B617" t="s">
        <v>341</v>
      </c>
      <c r="C617">
        <v>10</v>
      </c>
      <c r="D617">
        <v>141</v>
      </c>
      <c r="E617">
        <v>71</v>
      </c>
      <c r="F617">
        <v>105</v>
      </c>
      <c r="G617">
        <v>3</v>
      </c>
    </row>
    <row r="618" spans="1:7" x14ac:dyDescent="0.25">
      <c r="A618">
        <v>2002</v>
      </c>
      <c r="B618" t="s">
        <v>342</v>
      </c>
      <c r="C618">
        <v>30</v>
      </c>
      <c r="D618">
        <v>128</v>
      </c>
      <c r="E618">
        <v>78</v>
      </c>
      <c r="F618">
        <v>112</v>
      </c>
      <c r="G618">
        <v>2.0699999999999998</v>
      </c>
    </row>
    <row r="619" spans="1:7" x14ac:dyDescent="0.25">
      <c r="A619">
        <v>2002</v>
      </c>
      <c r="B619" t="s">
        <v>343</v>
      </c>
      <c r="C619">
        <v>35</v>
      </c>
      <c r="D619">
        <v>346</v>
      </c>
      <c r="E619">
        <v>68</v>
      </c>
      <c r="F619">
        <v>111</v>
      </c>
      <c r="G619">
        <v>2.6</v>
      </c>
    </row>
    <row r="620" spans="1:7" x14ac:dyDescent="0.25">
      <c r="A620">
        <v>2002</v>
      </c>
      <c r="B620" t="s">
        <v>344</v>
      </c>
      <c r="C620">
        <v>40</v>
      </c>
      <c r="D620">
        <v>246</v>
      </c>
      <c r="E620">
        <v>73</v>
      </c>
      <c r="F620">
        <v>102</v>
      </c>
      <c r="G620">
        <v>2.13</v>
      </c>
    </row>
    <row r="621" spans="1:7" x14ac:dyDescent="0.25">
      <c r="A621">
        <v>2002</v>
      </c>
      <c r="B621" t="s">
        <v>345</v>
      </c>
      <c r="C621">
        <v>150</v>
      </c>
      <c r="D621">
        <v>1373</v>
      </c>
      <c r="E621">
        <v>74</v>
      </c>
      <c r="F621">
        <v>122</v>
      </c>
      <c r="G621">
        <v>2.66</v>
      </c>
    </row>
    <row r="622" spans="1:7" x14ac:dyDescent="0.25">
      <c r="A622">
        <v>2002</v>
      </c>
      <c r="B622" t="s">
        <v>346</v>
      </c>
      <c r="C622">
        <v>210</v>
      </c>
      <c r="D622">
        <v>2188</v>
      </c>
      <c r="E622">
        <v>79</v>
      </c>
      <c r="F622">
        <v>132</v>
      </c>
      <c r="G622">
        <v>3.02</v>
      </c>
    </row>
    <row r="623" spans="1:7" x14ac:dyDescent="0.25">
      <c r="A623">
        <v>2002</v>
      </c>
      <c r="B623" t="s">
        <v>347</v>
      </c>
      <c r="C623">
        <v>35</v>
      </c>
      <c r="D623">
        <v>1632</v>
      </c>
      <c r="E623">
        <v>101</v>
      </c>
      <c r="F623">
        <v>131</v>
      </c>
      <c r="G623">
        <v>3.11</v>
      </c>
    </row>
    <row r="624" spans="1:7" x14ac:dyDescent="0.25">
      <c r="A624">
        <v>2002</v>
      </c>
      <c r="B624" t="s">
        <v>348</v>
      </c>
      <c r="C624">
        <v>460</v>
      </c>
      <c r="D624">
        <v>11401</v>
      </c>
      <c r="E624">
        <v>99</v>
      </c>
      <c r="F624">
        <v>140</v>
      </c>
      <c r="G624">
        <v>3.05</v>
      </c>
    </row>
    <row r="625" spans="1:7" x14ac:dyDescent="0.25">
      <c r="A625">
        <v>2002</v>
      </c>
      <c r="B625" t="s">
        <v>349</v>
      </c>
      <c r="C625">
        <v>20</v>
      </c>
      <c r="D625">
        <v>120</v>
      </c>
      <c r="E625">
        <v>73</v>
      </c>
      <c r="F625">
        <v>111</v>
      </c>
      <c r="G625">
        <v>2.25</v>
      </c>
    </row>
    <row r="626" spans="1:7" x14ac:dyDescent="0.25">
      <c r="A626">
        <v>2002</v>
      </c>
      <c r="B626" t="s">
        <v>350</v>
      </c>
      <c r="C626">
        <v>40</v>
      </c>
      <c r="D626">
        <v>365</v>
      </c>
      <c r="E626">
        <v>85</v>
      </c>
      <c r="F626">
        <v>129</v>
      </c>
      <c r="G626">
        <v>3.05</v>
      </c>
    </row>
    <row r="627" spans="1:7" x14ac:dyDescent="0.25">
      <c r="A627">
        <v>2002</v>
      </c>
      <c r="B627" t="s">
        <v>351</v>
      </c>
      <c r="C627">
        <v>180</v>
      </c>
      <c r="D627">
        <v>2116</v>
      </c>
      <c r="E627">
        <v>92</v>
      </c>
      <c r="F627">
        <v>136</v>
      </c>
      <c r="G627">
        <v>3.11</v>
      </c>
    </row>
    <row r="628" spans="1:7" x14ac:dyDescent="0.25">
      <c r="A628">
        <v>2002</v>
      </c>
      <c r="B628" t="s">
        <v>352</v>
      </c>
      <c r="C628">
        <v>15</v>
      </c>
      <c r="D628">
        <v>403</v>
      </c>
      <c r="E628">
        <v>98</v>
      </c>
      <c r="F628">
        <v>128</v>
      </c>
      <c r="G628">
        <v>3.07</v>
      </c>
    </row>
    <row r="629" spans="1:7" x14ac:dyDescent="0.25">
      <c r="A629">
        <v>2002</v>
      </c>
      <c r="B629" t="s">
        <v>353</v>
      </c>
      <c r="C629">
        <v>170</v>
      </c>
      <c r="D629">
        <v>1034</v>
      </c>
      <c r="E629">
        <v>73</v>
      </c>
      <c r="F629">
        <v>134</v>
      </c>
      <c r="G629">
        <v>2.1800000000000002</v>
      </c>
    </row>
    <row r="630" spans="1:7" x14ac:dyDescent="0.25">
      <c r="A630">
        <v>2002</v>
      </c>
      <c r="B630" t="s">
        <v>354</v>
      </c>
      <c r="C630">
        <v>160</v>
      </c>
      <c r="D630">
        <v>1271</v>
      </c>
      <c r="E630">
        <v>71</v>
      </c>
      <c r="F630">
        <v>129</v>
      </c>
      <c r="G630">
        <v>2.5</v>
      </c>
    </row>
    <row r="631" spans="1:7" x14ac:dyDescent="0.25">
      <c r="A631">
        <v>2002</v>
      </c>
      <c r="B631" t="s">
        <v>355</v>
      </c>
      <c r="C631">
        <v>40</v>
      </c>
      <c r="D631">
        <v>686</v>
      </c>
      <c r="E631">
        <v>83</v>
      </c>
      <c r="F631">
        <v>122</v>
      </c>
      <c r="G631">
        <v>3.03</v>
      </c>
    </row>
    <row r="632" spans="1:7" x14ac:dyDescent="0.25">
      <c r="A632">
        <v>2002</v>
      </c>
      <c r="B632" t="s">
        <v>356</v>
      </c>
      <c r="C632">
        <v>270</v>
      </c>
      <c r="D632">
        <v>2779</v>
      </c>
      <c r="E632">
        <v>75</v>
      </c>
      <c r="F632">
        <v>146</v>
      </c>
      <c r="G632">
        <v>2.96</v>
      </c>
    </row>
    <row r="633" spans="1:7" x14ac:dyDescent="0.25">
      <c r="A633">
        <v>2002</v>
      </c>
      <c r="B633" t="s">
        <v>357</v>
      </c>
      <c r="C633">
        <v>60</v>
      </c>
      <c r="D633">
        <v>3012</v>
      </c>
      <c r="E633">
        <v>105</v>
      </c>
      <c r="F633">
        <v>132</v>
      </c>
      <c r="G633">
        <v>3.1</v>
      </c>
    </row>
    <row r="634" spans="1:7" x14ac:dyDescent="0.25">
      <c r="A634">
        <v>2002</v>
      </c>
      <c r="B634" t="s">
        <v>358</v>
      </c>
      <c r="C634">
        <v>849</v>
      </c>
      <c r="D634">
        <v>6392</v>
      </c>
      <c r="E634">
        <v>66</v>
      </c>
      <c r="F634">
        <v>126</v>
      </c>
      <c r="G634">
        <v>2.23</v>
      </c>
    </row>
    <row r="635" spans="1:7" x14ac:dyDescent="0.25">
      <c r="A635">
        <v>2002</v>
      </c>
      <c r="B635" t="s">
        <v>359</v>
      </c>
      <c r="C635">
        <v>35</v>
      </c>
      <c r="D635">
        <v>105</v>
      </c>
      <c r="E635">
        <v>67</v>
      </c>
      <c r="F635">
        <v>112</v>
      </c>
      <c r="G635">
        <v>1.49</v>
      </c>
    </row>
    <row r="636" spans="1:7" x14ac:dyDescent="0.25">
      <c r="A636">
        <v>2002</v>
      </c>
      <c r="B636" t="s">
        <v>360</v>
      </c>
      <c r="C636">
        <v>30</v>
      </c>
      <c r="D636">
        <v>23</v>
      </c>
      <c r="E636">
        <v>44</v>
      </c>
      <c r="F636">
        <v>107</v>
      </c>
      <c r="G636">
        <v>0.67</v>
      </c>
    </row>
    <row r="637" spans="1:7" x14ac:dyDescent="0.25">
      <c r="A637">
        <v>2002</v>
      </c>
      <c r="B637" t="s">
        <v>361</v>
      </c>
      <c r="C637">
        <v>33</v>
      </c>
      <c r="D637">
        <v>1250</v>
      </c>
      <c r="E637">
        <v>66</v>
      </c>
      <c r="F637">
        <v>112</v>
      </c>
      <c r="G637">
        <v>3.24</v>
      </c>
    </row>
    <row r="638" spans="1:7" x14ac:dyDescent="0.25">
      <c r="A638">
        <v>2002</v>
      </c>
      <c r="B638" t="s">
        <v>362</v>
      </c>
      <c r="C638">
        <v>182</v>
      </c>
      <c r="D638">
        <v>5186</v>
      </c>
      <c r="E638">
        <v>70</v>
      </c>
      <c r="F638">
        <v>115</v>
      </c>
      <c r="G638">
        <v>3.14</v>
      </c>
    </row>
    <row r="639" spans="1:7" x14ac:dyDescent="0.25">
      <c r="A639">
        <v>2002</v>
      </c>
      <c r="B639" t="s">
        <v>363</v>
      </c>
      <c r="C639">
        <v>50</v>
      </c>
      <c r="D639">
        <v>326</v>
      </c>
      <c r="E639">
        <v>60</v>
      </c>
      <c r="F639">
        <v>99</v>
      </c>
      <c r="G639">
        <v>1.98</v>
      </c>
    </row>
    <row r="640" spans="1:7" x14ac:dyDescent="0.25">
      <c r="A640">
        <v>2002</v>
      </c>
      <c r="B640" t="s">
        <v>364</v>
      </c>
      <c r="C640">
        <v>180</v>
      </c>
      <c r="D640">
        <v>1930</v>
      </c>
      <c r="E640">
        <v>62</v>
      </c>
      <c r="F640">
        <v>114</v>
      </c>
      <c r="G640">
        <v>2.61</v>
      </c>
    </row>
    <row r="641" spans="1:7" x14ac:dyDescent="0.25">
      <c r="A641">
        <v>2002</v>
      </c>
      <c r="B641" t="s">
        <v>365</v>
      </c>
      <c r="C641">
        <v>50</v>
      </c>
      <c r="D641">
        <v>3585</v>
      </c>
      <c r="E641">
        <v>100</v>
      </c>
      <c r="F641">
        <v>143</v>
      </c>
      <c r="G641">
        <v>3.14</v>
      </c>
    </row>
    <row r="642" spans="1:7" x14ac:dyDescent="0.25">
      <c r="A642">
        <v>2002</v>
      </c>
      <c r="B642" t="s">
        <v>366</v>
      </c>
      <c r="C642">
        <v>60</v>
      </c>
      <c r="D642">
        <v>3136</v>
      </c>
      <c r="E642">
        <v>103</v>
      </c>
      <c r="F642">
        <v>135</v>
      </c>
      <c r="G642">
        <v>3.32</v>
      </c>
    </row>
    <row r="643" spans="1:7" x14ac:dyDescent="0.25">
      <c r="A643">
        <v>2002</v>
      </c>
      <c r="B643" t="s">
        <v>367</v>
      </c>
      <c r="C643">
        <v>50</v>
      </c>
      <c r="D643">
        <v>1146</v>
      </c>
      <c r="E643">
        <v>85</v>
      </c>
      <c r="F643">
        <v>126</v>
      </c>
      <c r="G643">
        <v>3.2</v>
      </c>
    </row>
    <row r="644" spans="1:7" x14ac:dyDescent="0.25">
      <c r="A644">
        <v>2002</v>
      </c>
      <c r="B644" t="s">
        <v>368</v>
      </c>
      <c r="C644">
        <v>30</v>
      </c>
      <c r="D644">
        <v>1480</v>
      </c>
      <c r="E644">
        <v>86</v>
      </c>
      <c r="F644">
        <v>125</v>
      </c>
      <c r="G644">
        <v>3.03</v>
      </c>
    </row>
    <row r="645" spans="1:7" x14ac:dyDescent="0.25">
      <c r="A645">
        <v>2002</v>
      </c>
      <c r="B645" t="s">
        <v>369</v>
      </c>
      <c r="C645">
        <v>500</v>
      </c>
      <c r="D645">
        <v>7280</v>
      </c>
      <c r="E645">
        <v>70</v>
      </c>
      <c r="F645">
        <v>131</v>
      </c>
      <c r="G645">
        <v>3.18</v>
      </c>
    </row>
    <row r="646" spans="1:7" x14ac:dyDescent="0.25">
      <c r="A646">
        <v>2002</v>
      </c>
      <c r="B646" t="s">
        <v>370</v>
      </c>
      <c r="C646">
        <v>30</v>
      </c>
      <c r="D646">
        <v>404</v>
      </c>
      <c r="E646">
        <v>83</v>
      </c>
      <c r="F646">
        <v>119</v>
      </c>
      <c r="G646">
        <v>3.07</v>
      </c>
    </row>
    <row r="647" spans="1:7" x14ac:dyDescent="0.25">
      <c r="A647">
        <v>2002</v>
      </c>
      <c r="B647" t="s">
        <v>371</v>
      </c>
      <c r="C647">
        <v>40</v>
      </c>
      <c r="D647">
        <v>873</v>
      </c>
      <c r="E647">
        <v>95</v>
      </c>
      <c r="F647">
        <v>150</v>
      </c>
      <c r="G647">
        <v>3.05</v>
      </c>
    </row>
    <row r="648" spans="1:7" x14ac:dyDescent="0.25">
      <c r="A648">
        <v>2002</v>
      </c>
      <c r="B648" t="s">
        <v>372</v>
      </c>
      <c r="C648">
        <v>120</v>
      </c>
      <c r="D648">
        <v>3071</v>
      </c>
      <c r="E648">
        <v>100</v>
      </c>
      <c r="F648">
        <v>132</v>
      </c>
      <c r="G648">
        <v>3</v>
      </c>
    </row>
    <row r="649" spans="1:7" x14ac:dyDescent="0.25">
      <c r="A649">
        <v>2002</v>
      </c>
      <c r="B649" t="s">
        <v>373</v>
      </c>
      <c r="C649">
        <v>40</v>
      </c>
      <c r="D649">
        <v>511</v>
      </c>
      <c r="E649">
        <v>77</v>
      </c>
      <c r="F649">
        <v>116</v>
      </c>
      <c r="G649">
        <v>3.05</v>
      </c>
    </row>
    <row r="650" spans="1:7" x14ac:dyDescent="0.25">
      <c r="A650">
        <v>2002</v>
      </c>
      <c r="B650" t="s">
        <v>374</v>
      </c>
      <c r="C650">
        <v>50</v>
      </c>
      <c r="D650">
        <v>1579</v>
      </c>
      <c r="E650">
        <v>80</v>
      </c>
      <c r="F650">
        <v>112</v>
      </c>
      <c r="G650">
        <v>3.04</v>
      </c>
    </row>
    <row r="651" spans="1:7" x14ac:dyDescent="0.25">
      <c r="A651">
        <v>2002</v>
      </c>
      <c r="B651" t="s">
        <v>375</v>
      </c>
      <c r="C651">
        <v>80</v>
      </c>
      <c r="D651">
        <v>818</v>
      </c>
      <c r="E651">
        <v>73</v>
      </c>
      <c r="F651">
        <v>123</v>
      </c>
      <c r="G651">
        <v>2.76</v>
      </c>
    </row>
    <row r="652" spans="1:7" x14ac:dyDescent="0.25">
      <c r="A652">
        <v>2002</v>
      </c>
      <c r="B652" t="s">
        <v>376</v>
      </c>
      <c r="C652">
        <v>160</v>
      </c>
      <c r="D652">
        <v>2033</v>
      </c>
      <c r="E652">
        <v>69</v>
      </c>
      <c r="F652">
        <v>118</v>
      </c>
      <c r="G652">
        <v>2.89</v>
      </c>
    </row>
    <row r="653" spans="1:7" x14ac:dyDescent="0.25">
      <c r="A653">
        <v>2002</v>
      </c>
      <c r="B653" t="s">
        <v>377</v>
      </c>
      <c r="C653">
        <v>200</v>
      </c>
      <c r="D653">
        <v>1205</v>
      </c>
      <c r="E653">
        <v>72</v>
      </c>
      <c r="F653">
        <v>127</v>
      </c>
      <c r="G653">
        <v>2.2200000000000002</v>
      </c>
    </row>
    <row r="654" spans="1:7" x14ac:dyDescent="0.25">
      <c r="A654">
        <v>2002</v>
      </c>
      <c r="B654" t="s">
        <v>378</v>
      </c>
      <c r="C654">
        <v>40</v>
      </c>
      <c r="D654">
        <v>280</v>
      </c>
      <c r="E654">
        <v>76</v>
      </c>
      <c r="F654">
        <v>125</v>
      </c>
      <c r="G654">
        <v>2.4500000000000002</v>
      </c>
    </row>
    <row r="655" spans="1:7" x14ac:dyDescent="0.25">
      <c r="A655">
        <v>2002</v>
      </c>
      <c r="B655" t="s">
        <v>379</v>
      </c>
      <c r="C655">
        <v>50</v>
      </c>
      <c r="D655">
        <v>771</v>
      </c>
      <c r="E655">
        <v>74</v>
      </c>
      <c r="F655">
        <v>117</v>
      </c>
      <c r="G655">
        <v>3.32</v>
      </c>
    </row>
    <row r="656" spans="1:7" x14ac:dyDescent="0.25">
      <c r="A656">
        <v>2002</v>
      </c>
      <c r="B656" t="s">
        <v>380</v>
      </c>
      <c r="C656">
        <v>80</v>
      </c>
      <c r="D656">
        <v>1124</v>
      </c>
      <c r="E656">
        <v>89</v>
      </c>
      <c r="F656">
        <v>138</v>
      </c>
      <c r="G656">
        <v>3.16</v>
      </c>
    </row>
    <row r="657" spans="1:7" x14ac:dyDescent="0.25">
      <c r="A657">
        <v>2002</v>
      </c>
      <c r="B657" t="s">
        <v>381</v>
      </c>
      <c r="C657">
        <v>150</v>
      </c>
      <c r="D657">
        <v>2239</v>
      </c>
      <c r="E657">
        <v>91</v>
      </c>
      <c r="F657">
        <v>132</v>
      </c>
      <c r="G657">
        <v>3.01</v>
      </c>
    </row>
    <row r="658" spans="1:7" x14ac:dyDescent="0.25">
      <c r="A658">
        <v>2002</v>
      </c>
      <c r="B658" t="s">
        <v>382</v>
      </c>
      <c r="C658">
        <v>65</v>
      </c>
      <c r="D658">
        <v>2312</v>
      </c>
      <c r="E658">
        <v>91</v>
      </c>
      <c r="F658">
        <v>134</v>
      </c>
      <c r="G658">
        <v>3.02</v>
      </c>
    </row>
    <row r="659" spans="1:7" x14ac:dyDescent="0.25">
      <c r="A659">
        <v>2002</v>
      </c>
      <c r="B659" t="s">
        <v>383</v>
      </c>
      <c r="C659">
        <v>25</v>
      </c>
      <c r="D659">
        <v>259</v>
      </c>
      <c r="E659">
        <v>71</v>
      </c>
      <c r="F659">
        <v>103</v>
      </c>
      <c r="G659">
        <v>2.84</v>
      </c>
    </row>
    <row r="660" spans="1:7" x14ac:dyDescent="0.25">
      <c r="A660">
        <v>2002</v>
      </c>
      <c r="B660" t="s">
        <v>384</v>
      </c>
      <c r="C660">
        <v>75</v>
      </c>
      <c r="D660">
        <v>495</v>
      </c>
      <c r="E660">
        <v>68</v>
      </c>
      <c r="F660">
        <v>116</v>
      </c>
      <c r="G660">
        <v>2.16</v>
      </c>
    </row>
    <row r="661" spans="1:7" x14ac:dyDescent="0.25">
      <c r="A661">
        <v>2002</v>
      </c>
      <c r="B661" t="s">
        <v>385</v>
      </c>
      <c r="C661">
        <v>375</v>
      </c>
      <c r="D661">
        <v>12846</v>
      </c>
      <c r="E661">
        <v>119</v>
      </c>
      <c r="F661">
        <v>146</v>
      </c>
      <c r="G661">
        <v>3.05</v>
      </c>
    </row>
    <row r="662" spans="1:7" x14ac:dyDescent="0.25">
      <c r="A662">
        <v>2002</v>
      </c>
      <c r="B662" t="s">
        <v>386</v>
      </c>
      <c r="C662">
        <v>80</v>
      </c>
      <c r="D662">
        <v>2391</v>
      </c>
      <c r="E662">
        <v>94</v>
      </c>
      <c r="F662">
        <v>135</v>
      </c>
      <c r="G662">
        <v>3.03</v>
      </c>
    </row>
    <row r="663" spans="1:7" x14ac:dyDescent="0.25">
      <c r="A663">
        <v>2002</v>
      </c>
      <c r="B663" t="s">
        <v>387</v>
      </c>
      <c r="C663">
        <v>80</v>
      </c>
      <c r="D663">
        <v>1563</v>
      </c>
      <c r="E663">
        <v>79</v>
      </c>
      <c r="F663">
        <v>118</v>
      </c>
      <c r="G663">
        <v>3.16</v>
      </c>
    </row>
    <row r="664" spans="1:7" x14ac:dyDescent="0.25">
      <c r="A664">
        <v>2002</v>
      </c>
      <c r="B664" t="s">
        <v>388</v>
      </c>
      <c r="C664">
        <v>50</v>
      </c>
      <c r="D664">
        <v>534</v>
      </c>
      <c r="E664">
        <v>78</v>
      </c>
      <c r="F664">
        <v>119</v>
      </c>
      <c r="G664">
        <v>3.06</v>
      </c>
    </row>
    <row r="665" spans="1:7" x14ac:dyDescent="0.25">
      <c r="A665">
        <v>2002</v>
      </c>
      <c r="B665" t="s">
        <v>389</v>
      </c>
      <c r="C665">
        <v>80</v>
      </c>
      <c r="D665">
        <v>664</v>
      </c>
      <c r="E665">
        <v>79</v>
      </c>
      <c r="F665">
        <v>115</v>
      </c>
      <c r="G665">
        <v>2.7</v>
      </c>
    </row>
    <row r="666" spans="1:7" x14ac:dyDescent="0.25">
      <c r="A666">
        <v>2002</v>
      </c>
      <c r="B666" t="s">
        <v>390</v>
      </c>
      <c r="C666">
        <v>133</v>
      </c>
      <c r="D666">
        <v>1575</v>
      </c>
      <c r="E666">
        <v>80</v>
      </c>
      <c r="F666">
        <v>126</v>
      </c>
      <c r="G666">
        <v>3.09</v>
      </c>
    </row>
    <row r="667" spans="1:7" x14ac:dyDescent="0.25">
      <c r="A667">
        <v>2002</v>
      </c>
      <c r="B667" t="s">
        <v>391</v>
      </c>
      <c r="C667">
        <v>40</v>
      </c>
      <c r="D667">
        <v>1086</v>
      </c>
      <c r="E667">
        <v>91</v>
      </c>
      <c r="F667">
        <v>127</v>
      </c>
      <c r="G667">
        <v>3.05</v>
      </c>
    </row>
    <row r="668" spans="1:7" x14ac:dyDescent="0.25">
      <c r="A668">
        <v>2002</v>
      </c>
      <c r="B668" t="s">
        <v>392</v>
      </c>
      <c r="C668">
        <v>70</v>
      </c>
      <c r="D668">
        <v>2181</v>
      </c>
      <c r="E668">
        <v>92</v>
      </c>
      <c r="F668">
        <v>130</v>
      </c>
      <c r="G668">
        <v>3.07</v>
      </c>
    </row>
    <row r="669" spans="1:7" x14ac:dyDescent="0.25">
      <c r="A669">
        <v>2002</v>
      </c>
      <c r="B669" t="s">
        <v>393</v>
      </c>
      <c r="C669">
        <v>45</v>
      </c>
      <c r="D669">
        <v>801</v>
      </c>
      <c r="E669">
        <v>80</v>
      </c>
      <c r="F669">
        <v>120</v>
      </c>
      <c r="G669">
        <v>3.22</v>
      </c>
    </row>
    <row r="670" spans="1:7" x14ac:dyDescent="0.25">
      <c r="A670">
        <v>2002</v>
      </c>
      <c r="B670" t="s">
        <v>394</v>
      </c>
      <c r="C670">
        <v>40</v>
      </c>
      <c r="D670">
        <v>426</v>
      </c>
      <c r="E670">
        <v>74</v>
      </c>
      <c r="F670">
        <v>108</v>
      </c>
      <c r="G670">
        <v>2.88</v>
      </c>
    </row>
    <row r="671" spans="1:7" x14ac:dyDescent="0.25">
      <c r="A671">
        <v>2002</v>
      </c>
      <c r="B671" t="s">
        <v>395</v>
      </c>
      <c r="C671">
        <v>500</v>
      </c>
      <c r="D671">
        <v>5993</v>
      </c>
      <c r="E671">
        <v>68</v>
      </c>
      <c r="F671">
        <v>135</v>
      </c>
      <c r="G671">
        <v>3.04</v>
      </c>
    </row>
    <row r="672" spans="1:7" x14ac:dyDescent="0.25">
      <c r="A672">
        <v>2002</v>
      </c>
      <c r="B672" t="s">
        <v>396</v>
      </c>
      <c r="C672">
        <v>70</v>
      </c>
      <c r="D672">
        <v>278</v>
      </c>
      <c r="E672">
        <v>70</v>
      </c>
      <c r="F672">
        <v>119</v>
      </c>
      <c r="G672">
        <v>1.67</v>
      </c>
    </row>
    <row r="673" spans="1:7" x14ac:dyDescent="0.25">
      <c r="A673">
        <v>2002</v>
      </c>
      <c r="B673" t="s">
        <v>397</v>
      </c>
      <c r="C673">
        <v>40</v>
      </c>
      <c r="D673">
        <v>959</v>
      </c>
      <c r="E673">
        <v>99</v>
      </c>
      <c r="F673">
        <v>140</v>
      </c>
      <c r="G673">
        <v>3.2</v>
      </c>
    </row>
    <row r="674" spans="1:7" x14ac:dyDescent="0.25">
      <c r="A674">
        <v>2002</v>
      </c>
      <c r="B674" t="s">
        <v>398</v>
      </c>
      <c r="C674">
        <v>40</v>
      </c>
      <c r="D674">
        <v>959</v>
      </c>
      <c r="E674">
        <v>103</v>
      </c>
      <c r="F674">
        <v>138</v>
      </c>
      <c r="G674">
        <v>3.15</v>
      </c>
    </row>
    <row r="675" spans="1:7" x14ac:dyDescent="0.25">
      <c r="A675">
        <v>2002</v>
      </c>
      <c r="B675" t="s">
        <v>399</v>
      </c>
      <c r="C675">
        <v>870</v>
      </c>
      <c r="D675">
        <v>11608</v>
      </c>
      <c r="E675">
        <v>95</v>
      </c>
      <c r="F675">
        <v>149</v>
      </c>
      <c r="G675">
        <v>3.05</v>
      </c>
    </row>
    <row r="676" spans="1:7" x14ac:dyDescent="0.25">
      <c r="A676">
        <v>2002</v>
      </c>
      <c r="B676" t="s">
        <v>400</v>
      </c>
      <c r="C676">
        <v>60</v>
      </c>
      <c r="D676">
        <v>513</v>
      </c>
      <c r="E676">
        <v>78</v>
      </c>
      <c r="F676">
        <v>128</v>
      </c>
      <c r="G676">
        <v>2.75</v>
      </c>
    </row>
    <row r="677" spans="1:7" x14ac:dyDescent="0.25">
      <c r="A677">
        <v>2002</v>
      </c>
      <c r="B677" t="s">
        <v>401</v>
      </c>
      <c r="C677">
        <v>40</v>
      </c>
      <c r="D677">
        <v>521</v>
      </c>
      <c r="E677">
        <v>84</v>
      </c>
      <c r="F677">
        <v>125</v>
      </c>
      <c r="G677">
        <v>3.23</v>
      </c>
    </row>
    <row r="678" spans="1:7" x14ac:dyDescent="0.25">
      <c r="A678">
        <v>2002</v>
      </c>
      <c r="B678" t="s">
        <v>402</v>
      </c>
      <c r="C678">
        <v>130</v>
      </c>
      <c r="D678">
        <v>2509</v>
      </c>
      <c r="E678">
        <v>97</v>
      </c>
      <c r="F678">
        <v>138</v>
      </c>
      <c r="G678">
        <v>3.09</v>
      </c>
    </row>
    <row r="679" spans="1:7" x14ac:dyDescent="0.25">
      <c r="A679">
        <v>2002</v>
      </c>
      <c r="B679" t="s">
        <v>403</v>
      </c>
      <c r="C679">
        <v>40</v>
      </c>
      <c r="D679">
        <v>301</v>
      </c>
      <c r="E679">
        <v>84</v>
      </c>
      <c r="F679">
        <v>118</v>
      </c>
      <c r="G679">
        <v>2.75</v>
      </c>
    </row>
    <row r="680" spans="1:7" x14ac:dyDescent="0.25">
      <c r="A680">
        <v>2002</v>
      </c>
      <c r="B680" t="s">
        <v>404</v>
      </c>
      <c r="C680">
        <v>280</v>
      </c>
      <c r="D680">
        <v>1686</v>
      </c>
      <c r="E680">
        <v>78</v>
      </c>
      <c r="F680">
        <v>140</v>
      </c>
      <c r="G680">
        <v>2.33</v>
      </c>
    </row>
    <row r="681" spans="1:7" x14ac:dyDescent="0.25">
      <c r="A681">
        <v>2002</v>
      </c>
      <c r="B681" t="s">
        <v>405</v>
      </c>
      <c r="C681">
        <v>40</v>
      </c>
      <c r="D681">
        <v>469</v>
      </c>
      <c r="E681">
        <v>79</v>
      </c>
      <c r="F681">
        <v>119</v>
      </c>
      <c r="G681">
        <v>3</v>
      </c>
    </row>
    <row r="682" spans="1:7" x14ac:dyDescent="0.25">
      <c r="A682">
        <v>2002</v>
      </c>
      <c r="B682" t="s">
        <v>406</v>
      </c>
      <c r="C682">
        <v>50</v>
      </c>
      <c r="D682">
        <v>207</v>
      </c>
      <c r="E682">
        <v>64</v>
      </c>
      <c r="F682">
        <v>104</v>
      </c>
      <c r="G682">
        <v>1.66</v>
      </c>
    </row>
    <row r="683" spans="1:7" x14ac:dyDescent="0.25">
      <c r="A683">
        <v>2002</v>
      </c>
      <c r="B683" t="s">
        <v>407</v>
      </c>
      <c r="C683">
        <v>260</v>
      </c>
      <c r="D683">
        <v>1467</v>
      </c>
      <c r="E683">
        <v>67</v>
      </c>
      <c r="F683">
        <v>137</v>
      </c>
      <c r="G683">
        <v>1.93</v>
      </c>
    </row>
    <row r="684" spans="1:7" x14ac:dyDescent="0.25">
      <c r="A684">
        <v>2002</v>
      </c>
      <c r="B684" t="s">
        <v>408</v>
      </c>
      <c r="C684">
        <v>35</v>
      </c>
      <c r="D684">
        <v>217</v>
      </c>
      <c r="E684">
        <v>74</v>
      </c>
      <c r="F684">
        <v>130</v>
      </c>
      <c r="G684">
        <v>2.2599999999999998</v>
      </c>
    </row>
    <row r="685" spans="1:7" x14ac:dyDescent="0.25">
      <c r="A685">
        <v>2002</v>
      </c>
      <c r="B685" t="s">
        <v>409</v>
      </c>
      <c r="C685">
        <v>40</v>
      </c>
      <c r="D685">
        <v>614</v>
      </c>
      <c r="E685">
        <v>80</v>
      </c>
      <c r="F685">
        <v>128</v>
      </c>
      <c r="G685">
        <v>3.25</v>
      </c>
    </row>
    <row r="686" spans="1:7" x14ac:dyDescent="0.25">
      <c r="A686">
        <v>2002</v>
      </c>
      <c r="B686" t="s">
        <v>410</v>
      </c>
      <c r="C686">
        <v>60</v>
      </c>
      <c r="D686">
        <v>618</v>
      </c>
      <c r="E686">
        <v>82</v>
      </c>
      <c r="F686">
        <v>124</v>
      </c>
      <c r="G686">
        <v>3.13</v>
      </c>
    </row>
    <row r="687" spans="1:7" x14ac:dyDescent="0.25">
      <c r="A687">
        <v>2002</v>
      </c>
      <c r="B687" t="s">
        <v>411</v>
      </c>
      <c r="C687">
        <v>40</v>
      </c>
      <c r="D687">
        <v>249</v>
      </c>
      <c r="E687">
        <v>76</v>
      </c>
      <c r="F687">
        <v>123</v>
      </c>
      <c r="G687">
        <v>2.33</v>
      </c>
    </row>
    <row r="688" spans="1:7" x14ac:dyDescent="0.25">
      <c r="A688">
        <v>2002</v>
      </c>
      <c r="B688" t="s">
        <v>412</v>
      </c>
      <c r="C688">
        <v>40</v>
      </c>
      <c r="D688">
        <v>411</v>
      </c>
      <c r="E688">
        <v>80</v>
      </c>
      <c r="F688">
        <v>124</v>
      </c>
      <c r="G688">
        <v>3.03</v>
      </c>
    </row>
    <row r="689" spans="1:7" x14ac:dyDescent="0.25">
      <c r="A689">
        <v>2002</v>
      </c>
      <c r="B689" t="s">
        <v>413</v>
      </c>
      <c r="C689">
        <v>500</v>
      </c>
      <c r="D689">
        <v>3792</v>
      </c>
      <c r="E689">
        <v>71</v>
      </c>
      <c r="F689">
        <v>135</v>
      </c>
      <c r="G689">
        <v>2.38</v>
      </c>
    </row>
    <row r="690" spans="1:7" x14ac:dyDescent="0.25">
      <c r="A690">
        <v>2012</v>
      </c>
      <c r="B690" t="s">
        <v>414</v>
      </c>
      <c r="C690">
        <v>105</v>
      </c>
      <c r="D690">
        <v>1777</v>
      </c>
      <c r="E690">
        <v>50</v>
      </c>
      <c r="F690">
        <v>71</v>
      </c>
      <c r="G690">
        <v>2.76</v>
      </c>
    </row>
    <row r="691" spans="1:7" x14ac:dyDescent="0.25">
      <c r="A691">
        <v>2012</v>
      </c>
      <c r="B691" t="s">
        <v>415</v>
      </c>
      <c r="C691">
        <v>150</v>
      </c>
      <c r="D691">
        <v>3794</v>
      </c>
      <c r="E691">
        <v>58</v>
      </c>
      <c r="F691">
        <v>77</v>
      </c>
      <c r="G691">
        <v>2.88</v>
      </c>
    </row>
    <row r="692" spans="1:7" x14ac:dyDescent="0.25">
      <c r="A692">
        <v>2012</v>
      </c>
      <c r="B692" t="s">
        <v>416</v>
      </c>
      <c r="C692">
        <v>45</v>
      </c>
      <c r="D692">
        <v>1261</v>
      </c>
      <c r="E692">
        <v>56</v>
      </c>
      <c r="F692">
        <v>74</v>
      </c>
      <c r="G692">
        <v>2.84</v>
      </c>
    </row>
    <row r="693" spans="1:7" x14ac:dyDescent="0.25">
      <c r="A693">
        <v>2012</v>
      </c>
      <c r="B693" t="s">
        <v>417</v>
      </c>
      <c r="C693">
        <v>15</v>
      </c>
      <c r="D693">
        <v>473</v>
      </c>
      <c r="E693">
        <v>53</v>
      </c>
      <c r="F693">
        <v>71</v>
      </c>
      <c r="G693">
        <v>3.67</v>
      </c>
    </row>
    <row r="694" spans="1:7" x14ac:dyDescent="0.25">
      <c r="A694">
        <v>2012</v>
      </c>
      <c r="B694" t="s">
        <v>418</v>
      </c>
      <c r="C694">
        <v>10</v>
      </c>
      <c r="D694">
        <v>173</v>
      </c>
      <c r="E694">
        <v>46</v>
      </c>
      <c r="F694">
        <v>61</v>
      </c>
      <c r="G694">
        <v>2.9</v>
      </c>
    </row>
    <row r="695" spans="1:7" x14ac:dyDescent="0.25">
      <c r="A695">
        <v>2012</v>
      </c>
      <c r="B695" t="s">
        <v>419</v>
      </c>
      <c r="C695">
        <v>30</v>
      </c>
      <c r="D695">
        <v>126</v>
      </c>
      <c r="E695">
        <v>44</v>
      </c>
      <c r="F695">
        <v>77</v>
      </c>
      <c r="G695">
        <v>2.73</v>
      </c>
    </row>
    <row r="696" spans="1:7" x14ac:dyDescent="0.25">
      <c r="A696">
        <v>2012</v>
      </c>
      <c r="B696" t="s">
        <v>420</v>
      </c>
      <c r="C696">
        <v>35</v>
      </c>
      <c r="D696">
        <v>169</v>
      </c>
      <c r="E696">
        <v>36</v>
      </c>
      <c r="F696">
        <v>68</v>
      </c>
      <c r="G696">
        <v>2.57</v>
      </c>
    </row>
    <row r="697" spans="1:7" x14ac:dyDescent="0.25">
      <c r="A697">
        <v>2012</v>
      </c>
      <c r="B697" t="s">
        <v>421</v>
      </c>
      <c r="C697">
        <v>45</v>
      </c>
      <c r="D697">
        <v>408</v>
      </c>
      <c r="E697">
        <v>41</v>
      </c>
      <c r="F697">
        <v>71</v>
      </c>
      <c r="G697">
        <v>2.56</v>
      </c>
    </row>
    <row r="698" spans="1:7" x14ac:dyDescent="0.25">
      <c r="A698">
        <v>2012</v>
      </c>
      <c r="B698" t="s">
        <v>422</v>
      </c>
      <c r="C698">
        <v>40</v>
      </c>
      <c r="D698">
        <v>110</v>
      </c>
      <c r="E698">
        <v>27</v>
      </c>
      <c r="F698">
        <v>64</v>
      </c>
      <c r="G698">
        <v>2.13</v>
      </c>
    </row>
    <row r="699" spans="1:7" x14ac:dyDescent="0.25">
      <c r="A699">
        <v>2012</v>
      </c>
      <c r="B699" t="s">
        <v>423</v>
      </c>
      <c r="C699">
        <v>210</v>
      </c>
      <c r="D699">
        <v>1144</v>
      </c>
      <c r="E699">
        <v>43</v>
      </c>
      <c r="F699">
        <v>76</v>
      </c>
      <c r="G699">
        <v>2.64</v>
      </c>
    </row>
    <row r="700" spans="1:7" x14ac:dyDescent="0.25">
      <c r="A700">
        <v>2012</v>
      </c>
      <c r="B700" t="s">
        <v>424</v>
      </c>
      <c r="C700">
        <v>35</v>
      </c>
      <c r="D700">
        <v>1212</v>
      </c>
      <c r="E700">
        <v>61</v>
      </c>
      <c r="F700">
        <v>78</v>
      </c>
      <c r="G700">
        <v>2.86</v>
      </c>
    </row>
    <row r="701" spans="1:7" x14ac:dyDescent="0.25">
      <c r="A701">
        <v>2012</v>
      </c>
      <c r="B701" t="s">
        <v>425</v>
      </c>
      <c r="C701">
        <v>40</v>
      </c>
      <c r="D701">
        <v>1218</v>
      </c>
      <c r="E701">
        <v>54</v>
      </c>
      <c r="F701">
        <v>75</v>
      </c>
      <c r="G701">
        <v>2.78</v>
      </c>
    </row>
    <row r="702" spans="1:7" x14ac:dyDescent="0.25">
      <c r="A702">
        <v>2012</v>
      </c>
      <c r="B702" t="s">
        <v>426</v>
      </c>
      <c r="C702">
        <v>560</v>
      </c>
      <c r="D702">
        <v>10622</v>
      </c>
      <c r="E702">
        <v>59</v>
      </c>
      <c r="F702">
        <v>83</v>
      </c>
      <c r="G702">
        <v>2.97</v>
      </c>
    </row>
    <row r="703" spans="1:7" x14ac:dyDescent="0.25">
      <c r="A703">
        <v>2012</v>
      </c>
      <c r="B703" t="s">
        <v>427</v>
      </c>
      <c r="C703">
        <v>590</v>
      </c>
      <c r="D703">
        <v>7015</v>
      </c>
      <c r="E703">
        <v>54</v>
      </c>
      <c r="F703">
        <v>81</v>
      </c>
      <c r="G703">
        <v>2.77</v>
      </c>
    </row>
    <row r="704" spans="1:7" x14ac:dyDescent="0.25">
      <c r="A704">
        <v>2012</v>
      </c>
      <c r="B704" t="s">
        <v>428</v>
      </c>
      <c r="C704">
        <v>70</v>
      </c>
      <c r="D704">
        <v>466</v>
      </c>
      <c r="E704">
        <v>44</v>
      </c>
      <c r="F704">
        <v>67</v>
      </c>
      <c r="G704">
        <v>2.66</v>
      </c>
    </row>
    <row r="705" spans="1:7" x14ac:dyDescent="0.25">
      <c r="A705">
        <v>2012</v>
      </c>
      <c r="B705" t="s">
        <v>429</v>
      </c>
      <c r="C705">
        <v>40</v>
      </c>
      <c r="D705">
        <v>372</v>
      </c>
      <c r="E705">
        <v>48</v>
      </c>
      <c r="F705">
        <v>75</v>
      </c>
      <c r="G705">
        <v>2.73</v>
      </c>
    </row>
    <row r="706" spans="1:7" x14ac:dyDescent="0.25">
      <c r="A706">
        <v>2012</v>
      </c>
      <c r="B706" t="s">
        <v>430</v>
      </c>
      <c r="C706">
        <v>45</v>
      </c>
      <c r="D706">
        <v>499</v>
      </c>
      <c r="E706">
        <v>51</v>
      </c>
      <c r="F706">
        <v>70</v>
      </c>
      <c r="G706">
        <v>2.78</v>
      </c>
    </row>
    <row r="707" spans="1:7" x14ac:dyDescent="0.25">
      <c r="A707">
        <v>2012</v>
      </c>
      <c r="B707" t="s">
        <v>431</v>
      </c>
      <c r="C707">
        <v>15</v>
      </c>
      <c r="D707">
        <v>219</v>
      </c>
      <c r="E707">
        <v>53</v>
      </c>
      <c r="F707">
        <v>74</v>
      </c>
      <c r="G707">
        <v>3.07</v>
      </c>
    </row>
    <row r="708" spans="1:7" x14ac:dyDescent="0.25">
      <c r="A708">
        <v>2012</v>
      </c>
      <c r="B708" t="s">
        <v>432</v>
      </c>
      <c r="C708">
        <v>170</v>
      </c>
      <c r="D708">
        <v>844</v>
      </c>
      <c r="E708">
        <v>40</v>
      </c>
      <c r="F708">
        <v>73</v>
      </c>
      <c r="G708">
        <v>2.57</v>
      </c>
    </row>
    <row r="709" spans="1:7" x14ac:dyDescent="0.25">
      <c r="A709">
        <v>2012</v>
      </c>
      <c r="B709" t="s">
        <v>433</v>
      </c>
      <c r="C709">
        <v>170</v>
      </c>
      <c r="D709">
        <v>729</v>
      </c>
      <c r="E709">
        <v>37</v>
      </c>
      <c r="F709">
        <v>79</v>
      </c>
      <c r="G709">
        <v>2.64</v>
      </c>
    </row>
    <row r="710" spans="1:7" x14ac:dyDescent="0.25">
      <c r="A710">
        <v>2012</v>
      </c>
      <c r="B710" t="s">
        <v>434</v>
      </c>
      <c r="C710">
        <v>120</v>
      </c>
      <c r="D710">
        <v>499</v>
      </c>
      <c r="E710">
        <v>35</v>
      </c>
      <c r="F710">
        <v>69</v>
      </c>
      <c r="G710">
        <v>2.42</v>
      </c>
    </row>
    <row r="711" spans="1:7" x14ac:dyDescent="0.25">
      <c r="A711">
        <v>2012</v>
      </c>
      <c r="B711" t="s">
        <v>435</v>
      </c>
      <c r="C711">
        <v>40</v>
      </c>
      <c r="D711">
        <v>190</v>
      </c>
      <c r="E711">
        <v>37</v>
      </c>
      <c r="F711">
        <v>59</v>
      </c>
      <c r="G711">
        <v>2.5</v>
      </c>
    </row>
    <row r="712" spans="1:7" x14ac:dyDescent="0.25">
      <c r="A712">
        <v>2012</v>
      </c>
      <c r="B712" t="s">
        <v>436</v>
      </c>
      <c r="C712">
        <v>120</v>
      </c>
      <c r="D712">
        <v>511</v>
      </c>
      <c r="E712">
        <v>35</v>
      </c>
      <c r="F712">
        <v>62</v>
      </c>
      <c r="G712">
        <v>2.5</v>
      </c>
    </row>
    <row r="713" spans="1:7" x14ac:dyDescent="0.25">
      <c r="A713">
        <v>2012</v>
      </c>
      <c r="B713" t="s">
        <v>437</v>
      </c>
      <c r="C713">
        <v>270</v>
      </c>
      <c r="D713">
        <v>1651</v>
      </c>
      <c r="E713">
        <v>43</v>
      </c>
      <c r="F713">
        <v>72</v>
      </c>
      <c r="G713">
        <v>2.77</v>
      </c>
    </row>
    <row r="714" spans="1:7" x14ac:dyDescent="0.25">
      <c r="A714">
        <v>2012</v>
      </c>
      <c r="B714" t="s">
        <v>438</v>
      </c>
      <c r="C714">
        <v>60</v>
      </c>
      <c r="D714">
        <v>2387</v>
      </c>
      <c r="E714">
        <v>59</v>
      </c>
      <c r="F714">
        <v>76</v>
      </c>
      <c r="G714">
        <v>2.78</v>
      </c>
    </row>
    <row r="715" spans="1:7" x14ac:dyDescent="0.25">
      <c r="A715">
        <v>2012</v>
      </c>
      <c r="B715" t="s">
        <v>439</v>
      </c>
      <c r="C715">
        <v>120</v>
      </c>
      <c r="D715">
        <v>507</v>
      </c>
      <c r="E715">
        <v>31</v>
      </c>
      <c r="F715">
        <v>60</v>
      </c>
      <c r="G715">
        <v>2.4500000000000002</v>
      </c>
    </row>
    <row r="716" spans="1:7" x14ac:dyDescent="0.25">
      <c r="A716">
        <v>2012</v>
      </c>
      <c r="B716" t="s">
        <v>440</v>
      </c>
      <c r="C716">
        <v>30</v>
      </c>
      <c r="D716">
        <v>108</v>
      </c>
      <c r="E716">
        <v>35</v>
      </c>
      <c r="F716">
        <v>63</v>
      </c>
      <c r="G716">
        <v>2.57</v>
      </c>
    </row>
    <row r="717" spans="1:7" x14ac:dyDescent="0.25">
      <c r="A717">
        <v>2012</v>
      </c>
      <c r="B717" t="s">
        <v>441</v>
      </c>
      <c r="C717">
        <v>849</v>
      </c>
      <c r="D717">
        <v>3303</v>
      </c>
      <c r="E717">
        <v>34</v>
      </c>
      <c r="F717">
        <v>81</v>
      </c>
      <c r="G717">
        <v>2.5499999999999998</v>
      </c>
    </row>
    <row r="718" spans="1:7" x14ac:dyDescent="0.25">
      <c r="A718">
        <v>2012</v>
      </c>
      <c r="B718" t="s">
        <v>442</v>
      </c>
      <c r="C718">
        <v>120</v>
      </c>
      <c r="D718">
        <v>1209</v>
      </c>
      <c r="E718">
        <v>44</v>
      </c>
      <c r="F718">
        <v>66</v>
      </c>
      <c r="G718">
        <v>2.56</v>
      </c>
    </row>
    <row r="719" spans="1:7" x14ac:dyDescent="0.25">
      <c r="A719">
        <v>2012</v>
      </c>
      <c r="B719" t="s">
        <v>443</v>
      </c>
      <c r="C719">
        <v>35</v>
      </c>
      <c r="D719">
        <v>105</v>
      </c>
      <c r="E719">
        <v>33</v>
      </c>
      <c r="F719">
        <v>60</v>
      </c>
      <c r="G719">
        <v>2.57</v>
      </c>
    </row>
    <row r="720" spans="1:7" x14ac:dyDescent="0.25">
      <c r="A720">
        <v>2012</v>
      </c>
      <c r="B720" t="s">
        <v>444</v>
      </c>
      <c r="C720">
        <v>30</v>
      </c>
      <c r="D720">
        <v>184</v>
      </c>
      <c r="E720">
        <v>37</v>
      </c>
      <c r="F720">
        <v>68</v>
      </c>
      <c r="G720">
        <v>2.37</v>
      </c>
    </row>
    <row r="721" spans="1:7" x14ac:dyDescent="0.25">
      <c r="A721">
        <v>2012</v>
      </c>
      <c r="B721" t="s">
        <v>445</v>
      </c>
      <c r="C721">
        <v>180</v>
      </c>
      <c r="D721">
        <v>836</v>
      </c>
      <c r="E721">
        <v>33</v>
      </c>
      <c r="F721">
        <v>77</v>
      </c>
      <c r="G721">
        <v>2.35</v>
      </c>
    </row>
    <row r="722" spans="1:7" x14ac:dyDescent="0.25">
      <c r="A722">
        <v>2012</v>
      </c>
      <c r="B722" t="s">
        <v>446</v>
      </c>
      <c r="C722">
        <v>50</v>
      </c>
      <c r="D722">
        <v>369</v>
      </c>
      <c r="E722">
        <v>38</v>
      </c>
      <c r="F722">
        <v>56</v>
      </c>
      <c r="G722">
        <v>2.4</v>
      </c>
    </row>
    <row r="723" spans="1:7" x14ac:dyDescent="0.25">
      <c r="A723">
        <v>2012</v>
      </c>
      <c r="B723" t="s">
        <v>447</v>
      </c>
      <c r="C723">
        <v>50</v>
      </c>
      <c r="D723">
        <v>2360</v>
      </c>
      <c r="E723">
        <v>57</v>
      </c>
      <c r="F723">
        <v>71</v>
      </c>
      <c r="G723">
        <v>2.64</v>
      </c>
    </row>
    <row r="724" spans="1:7" x14ac:dyDescent="0.25">
      <c r="A724">
        <v>2012</v>
      </c>
      <c r="B724" t="s">
        <v>448</v>
      </c>
      <c r="C724">
        <v>60</v>
      </c>
      <c r="D724">
        <v>2674</v>
      </c>
      <c r="E724">
        <v>61</v>
      </c>
      <c r="F724">
        <v>79</v>
      </c>
      <c r="G724">
        <v>3.23</v>
      </c>
    </row>
    <row r="725" spans="1:7" x14ac:dyDescent="0.25">
      <c r="A725">
        <v>2012</v>
      </c>
      <c r="B725" t="s">
        <v>449</v>
      </c>
      <c r="C725">
        <v>50</v>
      </c>
      <c r="D725">
        <v>927</v>
      </c>
      <c r="E725">
        <v>50</v>
      </c>
      <c r="F725">
        <v>72</v>
      </c>
      <c r="G725">
        <v>2.9</v>
      </c>
    </row>
    <row r="726" spans="1:7" x14ac:dyDescent="0.25">
      <c r="A726">
        <v>2012</v>
      </c>
      <c r="B726" t="s">
        <v>450</v>
      </c>
      <c r="C726">
        <v>60</v>
      </c>
      <c r="D726">
        <v>815</v>
      </c>
      <c r="E726">
        <v>45</v>
      </c>
      <c r="F726">
        <v>72</v>
      </c>
      <c r="G726">
        <v>2.77</v>
      </c>
    </row>
    <row r="727" spans="1:7" x14ac:dyDescent="0.25">
      <c r="A727">
        <v>2012</v>
      </c>
      <c r="B727" t="s">
        <v>451</v>
      </c>
      <c r="C727">
        <v>30</v>
      </c>
      <c r="D727">
        <v>401</v>
      </c>
      <c r="E727">
        <v>42</v>
      </c>
      <c r="F727">
        <v>64</v>
      </c>
      <c r="G727">
        <v>2.6</v>
      </c>
    </row>
    <row r="728" spans="1:7" x14ac:dyDescent="0.25">
      <c r="A728">
        <v>2012</v>
      </c>
      <c r="B728" t="s">
        <v>452</v>
      </c>
      <c r="C728">
        <v>300</v>
      </c>
      <c r="D728">
        <v>7398</v>
      </c>
      <c r="E728">
        <v>50</v>
      </c>
      <c r="F728">
        <v>69</v>
      </c>
      <c r="G728">
        <v>2.4300000000000002</v>
      </c>
    </row>
    <row r="729" spans="1:7" x14ac:dyDescent="0.25">
      <c r="A729">
        <v>2012</v>
      </c>
      <c r="B729" t="s">
        <v>453</v>
      </c>
      <c r="C729">
        <v>120</v>
      </c>
      <c r="D729">
        <v>1564</v>
      </c>
      <c r="E729">
        <v>52</v>
      </c>
      <c r="F729">
        <v>79</v>
      </c>
      <c r="G729">
        <v>2.87</v>
      </c>
    </row>
    <row r="730" spans="1:7" x14ac:dyDescent="0.25">
      <c r="A730">
        <v>2012</v>
      </c>
      <c r="B730" t="s">
        <v>454</v>
      </c>
      <c r="C730">
        <v>30</v>
      </c>
      <c r="D730">
        <v>313</v>
      </c>
      <c r="E730">
        <v>47</v>
      </c>
      <c r="F730">
        <v>77</v>
      </c>
      <c r="G730">
        <v>2.9</v>
      </c>
    </row>
    <row r="731" spans="1:7" x14ac:dyDescent="0.25">
      <c r="A731">
        <v>2012</v>
      </c>
      <c r="B731" t="s">
        <v>455</v>
      </c>
      <c r="C731">
        <v>40</v>
      </c>
      <c r="D731">
        <v>546</v>
      </c>
      <c r="E731">
        <v>50</v>
      </c>
      <c r="F731">
        <v>75</v>
      </c>
      <c r="G731">
        <v>2.83</v>
      </c>
    </row>
    <row r="732" spans="1:7" x14ac:dyDescent="0.25">
      <c r="A732">
        <v>2012</v>
      </c>
      <c r="B732" t="s">
        <v>456</v>
      </c>
      <c r="C732">
        <v>40</v>
      </c>
      <c r="D732">
        <v>1084</v>
      </c>
      <c r="E732">
        <v>57</v>
      </c>
      <c r="F732">
        <v>74</v>
      </c>
      <c r="G732">
        <v>2.9</v>
      </c>
    </row>
    <row r="733" spans="1:7" x14ac:dyDescent="0.25">
      <c r="A733">
        <v>2012</v>
      </c>
      <c r="B733" t="s">
        <v>457</v>
      </c>
      <c r="C733">
        <v>60</v>
      </c>
      <c r="D733">
        <v>158</v>
      </c>
      <c r="E733">
        <v>27</v>
      </c>
      <c r="F733">
        <v>53</v>
      </c>
      <c r="G733">
        <v>1.82</v>
      </c>
    </row>
    <row r="734" spans="1:7" x14ac:dyDescent="0.25">
      <c r="A734">
        <v>2012</v>
      </c>
      <c r="B734" t="s">
        <v>458</v>
      </c>
      <c r="C734">
        <v>40</v>
      </c>
      <c r="D734">
        <v>197</v>
      </c>
      <c r="E734">
        <v>36</v>
      </c>
      <c r="F734">
        <v>58</v>
      </c>
      <c r="G734">
        <v>2.38</v>
      </c>
    </row>
    <row r="735" spans="1:7" x14ac:dyDescent="0.25">
      <c r="A735">
        <v>2012</v>
      </c>
      <c r="B735" t="s">
        <v>459</v>
      </c>
      <c r="C735">
        <v>100</v>
      </c>
      <c r="D735">
        <v>773</v>
      </c>
      <c r="E735">
        <v>38</v>
      </c>
      <c r="F735">
        <v>71</v>
      </c>
      <c r="G735">
        <v>2.44</v>
      </c>
    </row>
    <row r="736" spans="1:7" x14ac:dyDescent="0.25">
      <c r="A736">
        <v>2012</v>
      </c>
      <c r="B736" t="s">
        <v>460</v>
      </c>
      <c r="C736">
        <v>60</v>
      </c>
      <c r="D736">
        <v>355</v>
      </c>
      <c r="E736">
        <v>32</v>
      </c>
      <c r="F736">
        <v>57</v>
      </c>
      <c r="G736">
        <v>2.38</v>
      </c>
    </row>
    <row r="737" spans="1:7" x14ac:dyDescent="0.25">
      <c r="A737">
        <v>2012</v>
      </c>
      <c r="B737" t="s">
        <v>461</v>
      </c>
      <c r="C737">
        <v>80</v>
      </c>
      <c r="D737">
        <v>738</v>
      </c>
      <c r="E737">
        <v>40</v>
      </c>
      <c r="F737">
        <v>69</v>
      </c>
      <c r="G737">
        <v>2.8</v>
      </c>
    </row>
    <row r="738" spans="1:7" x14ac:dyDescent="0.25">
      <c r="A738">
        <v>2012</v>
      </c>
      <c r="B738" t="s">
        <v>462</v>
      </c>
      <c r="C738">
        <v>130</v>
      </c>
      <c r="D738">
        <v>523</v>
      </c>
      <c r="E738">
        <v>32</v>
      </c>
      <c r="F738">
        <v>63</v>
      </c>
      <c r="G738">
        <v>2.35</v>
      </c>
    </row>
    <row r="739" spans="1:7" x14ac:dyDescent="0.25">
      <c r="A739">
        <v>2012</v>
      </c>
      <c r="B739" t="s">
        <v>463</v>
      </c>
      <c r="C739">
        <v>200</v>
      </c>
      <c r="D739">
        <v>1216</v>
      </c>
      <c r="E739">
        <v>41</v>
      </c>
      <c r="F739">
        <v>76</v>
      </c>
      <c r="G739">
        <v>2.48</v>
      </c>
    </row>
    <row r="740" spans="1:7" x14ac:dyDescent="0.25">
      <c r="A740">
        <v>2012</v>
      </c>
      <c r="B740" t="s">
        <v>464</v>
      </c>
      <c r="C740">
        <v>40</v>
      </c>
      <c r="D740">
        <v>249</v>
      </c>
      <c r="E740">
        <v>42</v>
      </c>
      <c r="F740">
        <v>65</v>
      </c>
      <c r="G740">
        <v>2.35</v>
      </c>
    </row>
    <row r="741" spans="1:7" x14ac:dyDescent="0.25">
      <c r="A741">
        <v>2012</v>
      </c>
      <c r="B741" t="s">
        <v>465</v>
      </c>
      <c r="C741">
        <v>150</v>
      </c>
      <c r="D741">
        <v>1361</v>
      </c>
      <c r="E741">
        <v>51</v>
      </c>
      <c r="F741">
        <v>80</v>
      </c>
      <c r="G741">
        <v>2.75</v>
      </c>
    </row>
    <row r="742" spans="1:7" x14ac:dyDescent="0.25">
      <c r="A742">
        <v>2012</v>
      </c>
      <c r="B742" t="s">
        <v>466</v>
      </c>
      <c r="C742">
        <v>80</v>
      </c>
      <c r="D742">
        <v>604</v>
      </c>
      <c r="E742">
        <v>46</v>
      </c>
      <c r="F742">
        <v>77</v>
      </c>
      <c r="G742">
        <v>2.5499999999999998</v>
      </c>
    </row>
    <row r="743" spans="1:7" x14ac:dyDescent="0.25">
      <c r="A743">
        <v>2012</v>
      </c>
      <c r="B743" t="s">
        <v>467</v>
      </c>
      <c r="C743">
        <v>25</v>
      </c>
      <c r="D743">
        <v>663</v>
      </c>
      <c r="E743">
        <v>48</v>
      </c>
      <c r="F743">
        <v>71</v>
      </c>
      <c r="G743">
        <v>3</v>
      </c>
    </row>
    <row r="744" spans="1:7" x14ac:dyDescent="0.25">
      <c r="A744">
        <v>2012</v>
      </c>
      <c r="B744" t="s">
        <v>468</v>
      </c>
      <c r="C744">
        <v>40</v>
      </c>
      <c r="D744">
        <v>577</v>
      </c>
      <c r="E744">
        <v>42</v>
      </c>
      <c r="F744">
        <v>73</v>
      </c>
      <c r="G744">
        <v>2.93</v>
      </c>
    </row>
    <row r="745" spans="1:7" x14ac:dyDescent="0.25">
      <c r="A745">
        <v>2012</v>
      </c>
      <c r="B745" t="s">
        <v>469</v>
      </c>
      <c r="C745">
        <v>25</v>
      </c>
      <c r="D745">
        <v>173</v>
      </c>
      <c r="E745">
        <v>37</v>
      </c>
      <c r="F745">
        <v>64</v>
      </c>
      <c r="G745">
        <v>2.56</v>
      </c>
    </row>
    <row r="746" spans="1:7" x14ac:dyDescent="0.25">
      <c r="A746">
        <v>2012</v>
      </c>
      <c r="B746" t="s">
        <v>470</v>
      </c>
      <c r="C746">
        <v>40</v>
      </c>
      <c r="D746">
        <v>152</v>
      </c>
      <c r="E746">
        <v>31</v>
      </c>
      <c r="F746">
        <v>63</v>
      </c>
      <c r="G746">
        <v>2.48</v>
      </c>
    </row>
    <row r="747" spans="1:7" x14ac:dyDescent="0.25">
      <c r="A747">
        <v>2012</v>
      </c>
      <c r="B747" t="s">
        <v>471</v>
      </c>
      <c r="C747">
        <v>30</v>
      </c>
      <c r="D747">
        <v>155</v>
      </c>
      <c r="E747">
        <v>36</v>
      </c>
      <c r="F747">
        <v>54</v>
      </c>
      <c r="G747">
        <v>2.33</v>
      </c>
    </row>
    <row r="748" spans="1:7" x14ac:dyDescent="0.25">
      <c r="A748">
        <v>2012</v>
      </c>
      <c r="B748" t="s">
        <v>472</v>
      </c>
      <c r="C748">
        <v>60</v>
      </c>
      <c r="D748">
        <v>187</v>
      </c>
      <c r="E748">
        <v>28</v>
      </c>
      <c r="F748">
        <v>62</v>
      </c>
      <c r="G748">
        <v>2.2200000000000002</v>
      </c>
    </row>
    <row r="749" spans="1:7" x14ac:dyDescent="0.25">
      <c r="A749">
        <v>2012</v>
      </c>
      <c r="B749" t="s">
        <v>473</v>
      </c>
      <c r="C749">
        <v>275</v>
      </c>
      <c r="D749">
        <v>14075</v>
      </c>
      <c r="E749">
        <v>73</v>
      </c>
      <c r="F749">
        <v>85</v>
      </c>
      <c r="G749">
        <v>3.24</v>
      </c>
    </row>
    <row r="750" spans="1:7" x14ac:dyDescent="0.25">
      <c r="A750">
        <v>2012</v>
      </c>
      <c r="B750" t="s">
        <v>474</v>
      </c>
      <c r="C750">
        <v>100</v>
      </c>
      <c r="D750">
        <v>4061</v>
      </c>
      <c r="E750">
        <v>73</v>
      </c>
      <c r="F750">
        <v>84</v>
      </c>
      <c r="G750">
        <v>3.2</v>
      </c>
    </row>
    <row r="751" spans="1:7" x14ac:dyDescent="0.25">
      <c r="A751">
        <v>2012</v>
      </c>
      <c r="B751" t="s">
        <v>475</v>
      </c>
      <c r="C751">
        <v>80</v>
      </c>
      <c r="D751">
        <v>1546</v>
      </c>
      <c r="E751">
        <v>52</v>
      </c>
      <c r="F751">
        <v>74</v>
      </c>
      <c r="G751">
        <v>2.73</v>
      </c>
    </row>
    <row r="752" spans="1:7" x14ac:dyDescent="0.25">
      <c r="A752">
        <v>2012</v>
      </c>
      <c r="B752" t="s">
        <v>476</v>
      </c>
      <c r="C752">
        <v>60</v>
      </c>
      <c r="D752">
        <v>913</v>
      </c>
      <c r="E752">
        <v>50</v>
      </c>
      <c r="F752">
        <v>71</v>
      </c>
      <c r="G752">
        <v>2.72</v>
      </c>
    </row>
    <row r="753" spans="1:7" x14ac:dyDescent="0.25">
      <c r="A753">
        <v>2012</v>
      </c>
      <c r="B753" t="s">
        <v>477</v>
      </c>
      <c r="C753">
        <v>80</v>
      </c>
      <c r="D753">
        <v>1083</v>
      </c>
      <c r="E753">
        <v>43</v>
      </c>
      <c r="F753">
        <v>78</v>
      </c>
      <c r="G753">
        <v>2.83</v>
      </c>
    </row>
    <row r="754" spans="1:7" x14ac:dyDescent="0.25">
      <c r="A754">
        <v>2012</v>
      </c>
      <c r="B754" t="s">
        <v>478</v>
      </c>
      <c r="C754">
        <v>30</v>
      </c>
      <c r="D754">
        <v>285</v>
      </c>
      <c r="E754">
        <v>41</v>
      </c>
      <c r="F754">
        <v>61</v>
      </c>
      <c r="G754">
        <v>2.73</v>
      </c>
    </row>
    <row r="755" spans="1:7" x14ac:dyDescent="0.25">
      <c r="A755">
        <v>2012</v>
      </c>
      <c r="B755" t="s">
        <v>479</v>
      </c>
      <c r="C755">
        <v>60</v>
      </c>
      <c r="D755">
        <v>210</v>
      </c>
      <c r="E755">
        <v>29</v>
      </c>
      <c r="F755">
        <v>62</v>
      </c>
      <c r="G755">
        <v>2.2999999999999998</v>
      </c>
    </row>
    <row r="756" spans="1:7" x14ac:dyDescent="0.25">
      <c r="A756">
        <v>2012</v>
      </c>
      <c r="B756" t="s">
        <v>480</v>
      </c>
      <c r="C756">
        <v>133</v>
      </c>
      <c r="D756">
        <v>1300</v>
      </c>
      <c r="E756">
        <v>45</v>
      </c>
      <c r="F756">
        <v>75</v>
      </c>
      <c r="G756">
        <v>2.67</v>
      </c>
    </row>
    <row r="757" spans="1:7" x14ac:dyDescent="0.25">
      <c r="A757">
        <v>2012</v>
      </c>
      <c r="B757" t="s">
        <v>481</v>
      </c>
      <c r="C757">
        <v>50</v>
      </c>
      <c r="D757">
        <v>450</v>
      </c>
      <c r="E757">
        <v>45</v>
      </c>
      <c r="F757">
        <v>67</v>
      </c>
      <c r="G757">
        <v>2.46</v>
      </c>
    </row>
    <row r="758" spans="1:7" x14ac:dyDescent="0.25">
      <c r="A758">
        <v>2012</v>
      </c>
      <c r="B758" t="s">
        <v>482</v>
      </c>
      <c r="C758">
        <v>80</v>
      </c>
      <c r="D758">
        <v>948</v>
      </c>
      <c r="E758">
        <v>46</v>
      </c>
      <c r="F758">
        <v>66</v>
      </c>
      <c r="G758">
        <v>2.54</v>
      </c>
    </row>
    <row r="759" spans="1:7" x14ac:dyDescent="0.25">
      <c r="A759">
        <v>2012</v>
      </c>
      <c r="B759" t="s">
        <v>483</v>
      </c>
      <c r="C759">
        <v>70</v>
      </c>
      <c r="D759">
        <v>2200</v>
      </c>
      <c r="E759">
        <v>56</v>
      </c>
      <c r="F759">
        <v>77</v>
      </c>
      <c r="G759">
        <v>2.73</v>
      </c>
    </row>
    <row r="760" spans="1:7" x14ac:dyDescent="0.25">
      <c r="A760">
        <v>2012</v>
      </c>
      <c r="B760" t="s">
        <v>484</v>
      </c>
      <c r="C760">
        <v>40</v>
      </c>
      <c r="D760">
        <v>989</v>
      </c>
      <c r="E760">
        <v>53</v>
      </c>
      <c r="F760">
        <v>74</v>
      </c>
      <c r="G760">
        <v>2.95</v>
      </c>
    </row>
    <row r="761" spans="1:7" x14ac:dyDescent="0.25">
      <c r="A761">
        <v>2012</v>
      </c>
      <c r="B761" t="s">
        <v>485</v>
      </c>
      <c r="C761">
        <v>40</v>
      </c>
      <c r="D761">
        <v>52</v>
      </c>
      <c r="E761">
        <v>27</v>
      </c>
      <c r="F761">
        <v>56</v>
      </c>
      <c r="G761">
        <v>1.1299999999999999</v>
      </c>
    </row>
    <row r="762" spans="1:7" x14ac:dyDescent="0.25">
      <c r="A762">
        <v>2012</v>
      </c>
      <c r="B762" t="s">
        <v>486</v>
      </c>
      <c r="C762">
        <v>25</v>
      </c>
      <c r="D762">
        <v>147</v>
      </c>
      <c r="E762">
        <v>36</v>
      </c>
      <c r="F762">
        <v>71</v>
      </c>
      <c r="G762">
        <v>2.44</v>
      </c>
    </row>
    <row r="763" spans="1:7" x14ac:dyDescent="0.25">
      <c r="A763">
        <v>2012</v>
      </c>
      <c r="B763" t="s">
        <v>487</v>
      </c>
      <c r="C763">
        <v>20</v>
      </c>
      <c r="D763">
        <v>122</v>
      </c>
      <c r="E763">
        <v>35</v>
      </c>
      <c r="F763">
        <v>53</v>
      </c>
      <c r="G763">
        <v>2.15</v>
      </c>
    </row>
    <row r="764" spans="1:7" x14ac:dyDescent="0.25">
      <c r="A764">
        <v>2012</v>
      </c>
      <c r="B764" t="s">
        <v>488</v>
      </c>
      <c r="C764">
        <v>40</v>
      </c>
      <c r="D764">
        <v>254</v>
      </c>
      <c r="E764">
        <v>36</v>
      </c>
      <c r="F764">
        <v>63</v>
      </c>
      <c r="G764">
        <v>2.38</v>
      </c>
    </row>
    <row r="765" spans="1:7" x14ac:dyDescent="0.25">
      <c r="A765">
        <v>2012</v>
      </c>
      <c r="B765" t="s">
        <v>489</v>
      </c>
      <c r="C765">
        <v>300</v>
      </c>
      <c r="D765">
        <v>5134</v>
      </c>
      <c r="E765">
        <v>49</v>
      </c>
      <c r="F765">
        <v>77</v>
      </c>
      <c r="G765">
        <v>2.4900000000000002</v>
      </c>
    </row>
    <row r="766" spans="1:7" x14ac:dyDescent="0.25">
      <c r="A766">
        <v>2012</v>
      </c>
      <c r="B766" t="s">
        <v>490</v>
      </c>
      <c r="C766">
        <v>40</v>
      </c>
      <c r="D766">
        <v>155</v>
      </c>
      <c r="E766">
        <v>41</v>
      </c>
      <c r="F766">
        <v>78</v>
      </c>
      <c r="G766">
        <v>2.78</v>
      </c>
    </row>
    <row r="767" spans="1:7" x14ac:dyDescent="0.25">
      <c r="A767">
        <v>2012</v>
      </c>
      <c r="B767" t="s">
        <v>491</v>
      </c>
      <c r="C767">
        <v>120</v>
      </c>
      <c r="D767">
        <v>184</v>
      </c>
      <c r="E767">
        <v>27</v>
      </c>
      <c r="F767">
        <v>68</v>
      </c>
      <c r="G767">
        <v>1.1100000000000001</v>
      </c>
    </row>
    <row r="768" spans="1:7" x14ac:dyDescent="0.25">
      <c r="A768">
        <v>2012</v>
      </c>
      <c r="B768" t="s">
        <v>492</v>
      </c>
      <c r="C768">
        <v>230</v>
      </c>
      <c r="D768">
        <v>2710</v>
      </c>
      <c r="E768">
        <v>47</v>
      </c>
      <c r="F768">
        <v>79</v>
      </c>
      <c r="G768">
        <v>2.77</v>
      </c>
    </row>
    <row r="769" spans="1:7" x14ac:dyDescent="0.25">
      <c r="A769">
        <v>2012</v>
      </c>
      <c r="B769" t="s">
        <v>493</v>
      </c>
      <c r="C769">
        <v>40</v>
      </c>
      <c r="D769">
        <v>967</v>
      </c>
      <c r="E769">
        <v>67</v>
      </c>
      <c r="F769">
        <v>81</v>
      </c>
      <c r="G769">
        <v>3.08</v>
      </c>
    </row>
    <row r="770" spans="1:7" x14ac:dyDescent="0.25">
      <c r="A770">
        <v>2012</v>
      </c>
      <c r="B770" t="s">
        <v>494</v>
      </c>
      <c r="C770">
        <v>40</v>
      </c>
      <c r="D770">
        <v>230</v>
      </c>
      <c r="E770">
        <v>38</v>
      </c>
      <c r="F770">
        <v>67</v>
      </c>
      <c r="G770">
        <v>2.4500000000000002</v>
      </c>
    </row>
    <row r="771" spans="1:7" x14ac:dyDescent="0.25">
      <c r="A771">
        <v>2012</v>
      </c>
      <c r="B771" t="s">
        <v>495</v>
      </c>
      <c r="C771">
        <v>40</v>
      </c>
      <c r="D771">
        <v>661</v>
      </c>
      <c r="E771">
        <v>52</v>
      </c>
      <c r="F771">
        <v>76</v>
      </c>
      <c r="G771">
        <v>2.75</v>
      </c>
    </row>
    <row r="772" spans="1:7" x14ac:dyDescent="0.25">
      <c r="A772">
        <v>2012</v>
      </c>
      <c r="B772" t="s">
        <v>496</v>
      </c>
      <c r="C772">
        <v>40</v>
      </c>
      <c r="D772">
        <v>307</v>
      </c>
      <c r="E772">
        <v>49</v>
      </c>
      <c r="F772">
        <v>66</v>
      </c>
      <c r="G772">
        <v>2.78</v>
      </c>
    </row>
    <row r="773" spans="1:7" x14ac:dyDescent="0.25">
      <c r="A773">
        <v>2012</v>
      </c>
      <c r="B773" t="s">
        <v>497</v>
      </c>
      <c r="C773">
        <v>60</v>
      </c>
      <c r="D773">
        <v>3136</v>
      </c>
      <c r="E773">
        <v>63</v>
      </c>
      <c r="F773">
        <v>78</v>
      </c>
      <c r="G773">
        <v>3.03</v>
      </c>
    </row>
    <row r="774" spans="1:7" x14ac:dyDescent="0.25">
      <c r="A774">
        <v>2012</v>
      </c>
      <c r="B774" t="s">
        <v>498</v>
      </c>
      <c r="C774">
        <v>100</v>
      </c>
      <c r="D774">
        <v>576</v>
      </c>
      <c r="E774">
        <v>41</v>
      </c>
      <c r="F774">
        <v>69</v>
      </c>
      <c r="G774">
        <v>2.6</v>
      </c>
    </row>
    <row r="775" spans="1:7" x14ac:dyDescent="0.25">
      <c r="A775">
        <v>2012</v>
      </c>
      <c r="B775" t="s">
        <v>499</v>
      </c>
      <c r="C775">
        <v>60</v>
      </c>
      <c r="D775">
        <v>329</v>
      </c>
      <c r="E775">
        <v>37</v>
      </c>
      <c r="F775">
        <v>64</v>
      </c>
      <c r="G775">
        <v>2.5</v>
      </c>
    </row>
    <row r="776" spans="1:7" x14ac:dyDescent="0.25">
      <c r="A776">
        <v>2012</v>
      </c>
      <c r="B776" t="s">
        <v>500</v>
      </c>
      <c r="C776">
        <v>40</v>
      </c>
      <c r="D776">
        <v>273</v>
      </c>
      <c r="E776">
        <v>44</v>
      </c>
      <c r="F776">
        <v>67</v>
      </c>
      <c r="G776">
        <v>2.65</v>
      </c>
    </row>
    <row r="777" spans="1:7" x14ac:dyDescent="0.25">
      <c r="A777">
        <v>2012</v>
      </c>
      <c r="B777" t="s">
        <v>501</v>
      </c>
      <c r="C777">
        <v>50</v>
      </c>
      <c r="D777">
        <v>469</v>
      </c>
      <c r="E777">
        <v>53</v>
      </c>
      <c r="F777">
        <v>77</v>
      </c>
      <c r="G777">
        <v>2.94</v>
      </c>
    </row>
    <row r="778" spans="1:7" x14ac:dyDescent="0.25">
      <c r="A778">
        <v>2012</v>
      </c>
      <c r="B778" t="s">
        <v>502</v>
      </c>
      <c r="C778">
        <v>40</v>
      </c>
      <c r="D778">
        <v>809</v>
      </c>
      <c r="E778">
        <v>50</v>
      </c>
      <c r="F778">
        <v>72</v>
      </c>
      <c r="G778">
        <v>2.88</v>
      </c>
    </row>
    <row r="779" spans="1:7" x14ac:dyDescent="0.25">
      <c r="A779">
        <v>2012</v>
      </c>
      <c r="B779" t="s">
        <v>503</v>
      </c>
      <c r="C779">
        <v>250</v>
      </c>
      <c r="D779">
        <v>2464</v>
      </c>
      <c r="E779">
        <v>51</v>
      </c>
      <c r="F779">
        <v>82</v>
      </c>
      <c r="G779">
        <v>2.83</v>
      </c>
    </row>
    <row r="780" spans="1:7" x14ac:dyDescent="0.25">
      <c r="A780">
        <v>2012</v>
      </c>
      <c r="B780" t="s">
        <v>504</v>
      </c>
      <c r="C780">
        <v>40</v>
      </c>
      <c r="D780">
        <v>191</v>
      </c>
      <c r="E780">
        <v>43</v>
      </c>
      <c r="F780">
        <v>70</v>
      </c>
      <c r="G780">
        <v>2.7</v>
      </c>
    </row>
    <row r="781" spans="1:7" x14ac:dyDescent="0.25">
      <c r="A781">
        <v>2012</v>
      </c>
      <c r="B781" t="s">
        <v>505</v>
      </c>
      <c r="C781">
        <v>750</v>
      </c>
      <c r="D781">
        <v>11933</v>
      </c>
      <c r="E781">
        <v>63</v>
      </c>
      <c r="F781">
        <v>86</v>
      </c>
      <c r="G781">
        <v>3.01</v>
      </c>
    </row>
    <row r="782" spans="1:7" x14ac:dyDescent="0.25">
      <c r="A782">
        <v>2012</v>
      </c>
      <c r="B782" t="s">
        <v>506</v>
      </c>
      <c r="C782">
        <v>160</v>
      </c>
      <c r="D782">
        <v>1589</v>
      </c>
      <c r="E782">
        <v>51</v>
      </c>
      <c r="F782">
        <v>79</v>
      </c>
      <c r="G782">
        <v>2.75</v>
      </c>
    </row>
    <row r="783" spans="1:7" x14ac:dyDescent="0.25">
      <c r="A783">
        <v>2012</v>
      </c>
      <c r="B783" t="s">
        <v>507</v>
      </c>
      <c r="C783">
        <v>150</v>
      </c>
      <c r="D783">
        <v>2472</v>
      </c>
      <c r="E783">
        <v>60</v>
      </c>
      <c r="F783">
        <v>86</v>
      </c>
      <c r="G783">
        <v>3.04</v>
      </c>
    </row>
    <row r="784" spans="1:7" x14ac:dyDescent="0.25">
      <c r="A784">
        <v>2012</v>
      </c>
      <c r="B784" t="s">
        <v>508</v>
      </c>
      <c r="C784">
        <v>455</v>
      </c>
      <c r="D784">
        <v>2005</v>
      </c>
      <c r="E784">
        <v>39</v>
      </c>
      <c r="F784">
        <v>81</v>
      </c>
      <c r="G784">
        <v>2.6</v>
      </c>
    </row>
    <row r="785" spans="1:7" x14ac:dyDescent="0.25">
      <c r="A785">
        <v>2012</v>
      </c>
      <c r="B785" t="s">
        <v>509</v>
      </c>
      <c r="C785">
        <v>40</v>
      </c>
      <c r="D785">
        <v>164</v>
      </c>
      <c r="E785">
        <v>35</v>
      </c>
      <c r="F785">
        <v>69</v>
      </c>
      <c r="G785">
        <v>2.5</v>
      </c>
    </row>
    <row r="786" spans="1:7" x14ac:dyDescent="0.25">
      <c r="A786">
        <v>2012</v>
      </c>
      <c r="B786" t="s">
        <v>510</v>
      </c>
      <c r="C786">
        <v>50</v>
      </c>
      <c r="D786">
        <v>672</v>
      </c>
      <c r="E786">
        <v>52</v>
      </c>
      <c r="F786">
        <v>77</v>
      </c>
      <c r="G786">
        <v>3.14</v>
      </c>
    </row>
    <row r="787" spans="1:7" x14ac:dyDescent="0.25">
      <c r="A787">
        <v>2012</v>
      </c>
      <c r="B787" t="s">
        <v>511</v>
      </c>
      <c r="C787">
        <v>40</v>
      </c>
      <c r="D787">
        <v>156</v>
      </c>
      <c r="E787">
        <v>35</v>
      </c>
      <c r="F787">
        <v>55</v>
      </c>
      <c r="G787">
        <v>2.4300000000000002</v>
      </c>
    </row>
    <row r="788" spans="1:7" x14ac:dyDescent="0.25">
      <c r="A788">
        <v>2012</v>
      </c>
      <c r="B788" t="s">
        <v>512</v>
      </c>
      <c r="C788">
        <v>40</v>
      </c>
      <c r="D788">
        <v>220</v>
      </c>
      <c r="E788">
        <v>37</v>
      </c>
      <c r="F788">
        <v>65</v>
      </c>
      <c r="G788">
        <v>2.5</v>
      </c>
    </row>
    <row r="789" spans="1:7" x14ac:dyDescent="0.25">
      <c r="A789">
        <v>2012</v>
      </c>
      <c r="B789" t="s">
        <v>513</v>
      </c>
      <c r="C789">
        <v>50</v>
      </c>
      <c r="D789">
        <v>124</v>
      </c>
      <c r="E789">
        <v>27</v>
      </c>
      <c r="F789">
        <v>69</v>
      </c>
      <c r="G789">
        <v>2.02</v>
      </c>
    </row>
    <row r="790" spans="1:7" x14ac:dyDescent="0.25">
      <c r="A790">
        <v>2012</v>
      </c>
      <c r="B790" t="s">
        <v>514</v>
      </c>
      <c r="C790">
        <v>40</v>
      </c>
      <c r="D790">
        <v>92</v>
      </c>
      <c r="E790">
        <v>27</v>
      </c>
      <c r="F790">
        <v>71</v>
      </c>
      <c r="G790">
        <v>1.65</v>
      </c>
    </row>
    <row r="791" spans="1:7" x14ac:dyDescent="0.25">
      <c r="A791">
        <v>2012</v>
      </c>
      <c r="B791" t="s">
        <v>515</v>
      </c>
      <c r="C791">
        <v>260</v>
      </c>
      <c r="D791">
        <v>690</v>
      </c>
      <c r="E791">
        <v>27</v>
      </c>
      <c r="F791">
        <v>75</v>
      </c>
      <c r="G791">
        <v>2.1</v>
      </c>
    </row>
    <row r="792" spans="1:7" x14ac:dyDescent="0.25">
      <c r="A792">
        <v>2012</v>
      </c>
      <c r="B792" t="s">
        <v>516</v>
      </c>
      <c r="C792">
        <v>45</v>
      </c>
      <c r="D792">
        <v>159</v>
      </c>
      <c r="E792">
        <v>31</v>
      </c>
      <c r="F792">
        <v>70</v>
      </c>
      <c r="G792">
        <v>2.42</v>
      </c>
    </row>
    <row r="793" spans="1:7" x14ac:dyDescent="0.25">
      <c r="A793">
        <v>2012</v>
      </c>
      <c r="B793" t="s">
        <v>517</v>
      </c>
      <c r="C793">
        <v>95</v>
      </c>
      <c r="D793">
        <v>317</v>
      </c>
      <c r="E793">
        <v>30</v>
      </c>
      <c r="F793">
        <v>79</v>
      </c>
      <c r="G793">
        <v>2.37</v>
      </c>
    </row>
    <row r="794" spans="1:7" x14ac:dyDescent="0.25">
      <c r="A794">
        <v>2012</v>
      </c>
      <c r="B794" t="s">
        <v>518</v>
      </c>
      <c r="C794">
        <v>40</v>
      </c>
      <c r="D794">
        <v>298</v>
      </c>
      <c r="E794">
        <v>46</v>
      </c>
      <c r="F794">
        <v>70</v>
      </c>
      <c r="G794">
        <v>2.4500000000000002</v>
      </c>
    </row>
    <row r="795" spans="1:7" x14ac:dyDescent="0.25">
      <c r="A795">
        <v>2012</v>
      </c>
      <c r="B795" t="s">
        <v>519</v>
      </c>
      <c r="C795">
        <v>30</v>
      </c>
      <c r="D795">
        <v>169</v>
      </c>
      <c r="E795">
        <v>40</v>
      </c>
      <c r="F795">
        <v>64</v>
      </c>
      <c r="G795">
        <v>2.67</v>
      </c>
    </row>
    <row r="796" spans="1:7" x14ac:dyDescent="0.25">
      <c r="A796">
        <v>2012</v>
      </c>
      <c r="B796" t="s">
        <v>520</v>
      </c>
      <c r="C796">
        <v>60</v>
      </c>
      <c r="D796">
        <v>402</v>
      </c>
      <c r="E796">
        <v>43</v>
      </c>
      <c r="F796">
        <v>70</v>
      </c>
      <c r="G796">
        <v>2.72</v>
      </c>
    </row>
    <row r="797" spans="1:7" x14ac:dyDescent="0.25">
      <c r="A797">
        <v>2012</v>
      </c>
      <c r="B797" t="s">
        <v>521</v>
      </c>
      <c r="C797">
        <v>60</v>
      </c>
      <c r="D797">
        <v>664</v>
      </c>
      <c r="E797">
        <v>52</v>
      </c>
      <c r="F797">
        <v>74</v>
      </c>
      <c r="G797">
        <v>3.02</v>
      </c>
    </row>
    <row r="798" spans="1:7" x14ac:dyDescent="0.25">
      <c r="A798">
        <v>2012</v>
      </c>
      <c r="B798" t="s">
        <v>522</v>
      </c>
      <c r="C798">
        <v>30</v>
      </c>
      <c r="D798">
        <v>122</v>
      </c>
      <c r="E798">
        <v>35</v>
      </c>
      <c r="F798">
        <v>57</v>
      </c>
      <c r="G798">
        <v>2.5299999999999998</v>
      </c>
    </row>
    <row r="799" spans="1:7" x14ac:dyDescent="0.25">
      <c r="A799">
        <v>2012</v>
      </c>
      <c r="B799" t="s">
        <v>523</v>
      </c>
      <c r="C799">
        <v>40</v>
      </c>
      <c r="D799">
        <v>123</v>
      </c>
      <c r="E799">
        <v>30</v>
      </c>
      <c r="F799">
        <v>68</v>
      </c>
      <c r="G799">
        <v>2.4</v>
      </c>
    </row>
    <row r="800" spans="1:7" x14ac:dyDescent="0.25">
      <c r="A800">
        <v>2012</v>
      </c>
      <c r="B800" t="s">
        <v>524</v>
      </c>
      <c r="C800">
        <v>60</v>
      </c>
      <c r="D800">
        <v>379</v>
      </c>
      <c r="E800">
        <v>44</v>
      </c>
      <c r="F800">
        <v>76</v>
      </c>
      <c r="G800">
        <v>2.8</v>
      </c>
    </row>
    <row r="801" spans="1:7" x14ac:dyDescent="0.25">
      <c r="A801">
        <v>2012</v>
      </c>
      <c r="B801" t="s">
        <v>525</v>
      </c>
      <c r="C801">
        <v>300</v>
      </c>
      <c r="D801">
        <v>6259</v>
      </c>
      <c r="E801">
        <v>52</v>
      </c>
      <c r="F801">
        <v>83</v>
      </c>
      <c r="G801">
        <v>2.75</v>
      </c>
    </row>
    <row r="802" spans="1:7" x14ac:dyDescent="0.25">
      <c r="A802">
        <v>2013</v>
      </c>
      <c r="B802" t="s">
        <v>414</v>
      </c>
      <c r="C802">
        <v>105</v>
      </c>
      <c r="D802">
        <v>1518</v>
      </c>
      <c r="E802">
        <v>46</v>
      </c>
      <c r="F802">
        <v>72</v>
      </c>
      <c r="G802">
        <v>2.61</v>
      </c>
    </row>
    <row r="803" spans="1:7" x14ac:dyDescent="0.25">
      <c r="A803">
        <v>2013</v>
      </c>
      <c r="B803" t="s">
        <v>526</v>
      </c>
      <c r="C803">
        <v>40</v>
      </c>
      <c r="D803">
        <v>577</v>
      </c>
      <c r="E803">
        <v>43</v>
      </c>
      <c r="F803">
        <v>66</v>
      </c>
      <c r="G803">
        <v>2.63</v>
      </c>
    </row>
    <row r="804" spans="1:7" x14ac:dyDescent="0.25">
      <c r="A804">
        <v>2013</v>
      </c>
      <c r="B804" t="s">
        <v>415</v>
      </c>
      <c r="C804">
        <v>150</v>
      </c>
      <c r="D804">
        <v>4420</v>
      </c>
      <c r="E804">
        <v>56</v>
      </c>
      <c r="F804">
        <v>78</v>
      </c>
      <c r="G804">
        <v>2.81</v>
      </c>
    </row>
    <row r="805" spans="1:7" x14ac:dyDescent="0.25">
      <c r="A805">
        <v>2013</v>
      </c>
      <c r="B805" t="s">
        <v>416</v>
      </c>
      <c r="C805">
        <v>45</v>
      </c>
      <c r="D805">
        <v>1413</v>
      </c>
      <c r="E805">
        <v>53</v>
      </c>
      <c r="F805">
        <v>73</v>
      </c>
      <c r="G805">
        <v>2.78</v>
      </c>
    </row>
    <row r="806" spans="1:7" x14ac:dyDescent="0.25">
      <c r="A806">
        <v>2013</v>
      </c>
      <c r="B806" t="s">
        <v>417</v>
      </c>
      <c r="C806">
        <v>15</v>
      </c>
      <c r="D806">
        <v>542</v>
      </c>
      <c r="E806">
        <v>54</v>
      </c>
      <c r="F806">
        <v>72</v>
      </c>
      <c r="G806">
        <v>2.67</v>
      </c>
    </row>
    <row r="807" spans="1:7" x14ac:dyDescent="0.25">
      <c r="A807">
        <v>2013</v>
      </c>
      <c r="B807" t="s">
        <v>418</v>
      </c>
      <c r="C807">
        <v>10</v>
      </c>
      <c r="D807">
        <v>168</v>
      </c>
      <c r="E807">
        <v>44</v>
      </c>
      <c r="F807">
        <v>58</v>
      </c>
      <c r="G807">
        <v>2.7</v>
      </c>
    </row>
    <row r="808" spans="1:7" x14ac:dyDescent="0.25">
      <c r="A808">
        <v>2013</v>
      </c>
      <c r="B808" t="s">
        <v>419</v>
      </c>
      <c r="C808">
        <v>30</v>
      </c>
      <c r="D808">
        <v>138</v>
      </c>
      <c r="E808">
        <v>44</v>
      </c>
      <c r="F808">
        <v>69</v>
      </c>
      <c r="G808">
        <v>2.93</v>
      </c>
    </row>
    <row r="809" spans="1:7" x14ac:dyDescent="0.25">
      <c r="A809">
        <v>2013</v>
      </c>
      <c r="B809" t="s">
        <v>420</v>
      </c>
      <c r="C809">
        <v>35</v>
      </c>
      <c r="D809">
        <v>186</v>
      </c>
      <c r="E809">
        <v>36</v>
      </c>
      <c r="F809">
        <v>63</v>
      </c>
      <c r="G809">
        <v>2.69</v>
      </c>
    </row>
    <row r="810" spans="1:7" x14ac:dyDescent="0.25">
      <c r="A810">
        <v>2013</v>
      </c>
      <c r="B810" t="s">
        <v>421</v>
      </c>
      <c r="C810">
        <v>45</v>
      </c>
      <c r="D810">
        <v>442</v>
      </c>
      <c r="E810">
        <v>41</v>
      </c>
      <c r="F810">
        <v>72</v>
      </c>
      <c r="G810">
        <v>2.6</v>
      </c>
    </row>
    <row r="811" spans="1:7" x14ac:dyDescent="0.25">
      <c r="A811">
        <v>2013</v>
      </c>
      <c r="B811" t="s">
        <v>422</v>
      </c>
      <c r="C811">
        <v>40</v>
      </c>
      <c r="D811">
        <v>303</v>
      </c>
      <c r="E811">
        <v>39</v>
      </c>
      <c r="F811">
        <v>64</v>
      </c>
      <c r="G811">
        <v>2.2799999999999998</v>
      </c>
    </row>
    <row r="812" spans="1:7" x14ac:dyDescent="0.25">
      <c r="A812">
        <v>2013</v>
      </c>
      <c r="B812" t="s">
        <v>423</v>
      </c>
      <c r="C812">
        <v>210</v>
      </c>
      <c r="D812">
        <v>1304</v>
      </c>
      <c r="E812">
        <v>42</v>
      </c>
      <c r="F812">
        <v>80</v>
      </c>
      <c r="G812">
        <v>2.73</v>
      </c>
    </row>
    <row r="813" spans="1:7" x14ac:dyDescent="0.25">
      <c r="A813">
        <v>2013</v>
      </c>
      <c r="B813" t="s">
        <v>424</v>
      </c>
      <c r="C813">
        <v>35</v>
      </c>
      <c r="D813">
        <v>1253</v>
      </c>
      <c r="E813">
        <v>60</v>
      </c>
      <c r="F813">
        <v>75</v>
      </c>
      <c r="G813">
        <v>3.03</v>
      </c>
    </row>
    <row r="814" spans="1:7" x14ac:dyDescent="0.25">
      <c r="A814">
        <v>2013</v>
      </c>
      <c r="B814" t="s">
        <v>425</v>
      </c>
      <c r="C814">
        <v>40</v>
      </c>
      <c r="D814">
        <v>1386</v>
      </c>
      <c r="E814">
        <v>53</v>
      </c>
      <c r="F814">
        <v>75</v>
      </c>
      <c r="G814">
        <v>2.75</v>
      </c>
    </row>
    <row r="815" spans="1:7" x14ac:dyDescent="0.25">
      <c r="A815">
        <v>2013</v>
      </c>
      <c r="B815" t="s">
        <v>426</v>
      </c>
      <c r="C815">
        <v>560</v>
      </c>
      <c r="D815">
        <v>11304</v>
      </c>
      <c r="E815">
        <v>57</v>
      </c>
      <c r="F815">
        <v>83</v>
      </c>
      <c r="G815">
        <v>2.75</v>
      </c>
    </row>
    <row r="816" spans="1:7" x14ac:dyDescent="0.25">
      <c r="A816">
        <v>2013</v>
      </c>
      <c r="B816" t="s">
        <v>427</v>
      </c>
      <c r="C816">
        <v>590</v>
      </c>
      <c r="D816">
        <v>6815</v>
      </c>
      <c r="E816">
        <v>51</v>
      </c>
      <c r="F816">
        <v>82</v>
      </c>
      <c r="G816">
        <v>2.76</v>
      </c>
    </row>
    <row r="817" spans="1:7" x14ac:dyDescent="0.25">
      <c r="A817">
        <v>2013</v>
      </c>
      <c r="B817" t="s">
        <v>428</v>
      </c>
      <c r="C817">
        <v>70</v>
      </c>
      <c r="D817">
        <v>367</v>
      </c>
      <c r="E817">
        <v>39</v>
      </c>
      <c r="F817">
        <v>61</v>
      </c>
      <c r="G817">
        <v>2.5299999999999998</v>
      </c>
    </row>
    <row r="818" spans="1:7" x14ac:dyDescent="0.25">
      <c r="A818">
        <v>2013</v>
      </c>
      <c r="B818" t="s">
        <v>429</v>
      </c>
      <c r="C818">
        <v>40</v>
      </c>
      <c r="D818">
        <v>370</v>
      </c>
      <c r="E818">
        <v>46</v>
      </c>
      <c r="F818">
        <v>68</v>
      </c>
      <c r="G818">
        <v>2.95</v>
      </c>
    </row>
    <row r="819" spans="1:7" x14ac:dyDescent="0.25">
      <c r="A819">
        <v>2013</v>
      </c>
      <c r="B819" t="s">
        <v>430</v>
      </c>
      <c r="C819">
        <v>45</v>
      </c>
      <c r="D819">
        <v>369</v>
      </c>
      <c r="E819">
        <v>46</v>
      </c>
      <c r="F819">
        <v>72</v>
      </c>
      <c r="G819">
        <v>2.69</v>
      </c>
    </row>
    <row r="820" spans="1:7" x14ac:dyDescent="0.25">
      <c r="A820">
        <v>2013</v>
      </c>
      <c r="B820" t="s">
        <v>431</v>
      </c>
      <c r="C820">
        <v>15</v>
      </c>
      <c r="D820">
        <v>266</v>
      </c>
      <c r="E820">
        <v>50</v>
      </c>
      <c r="F820">
        <v>76</v>
      </c>
      <c r="G820">
        <v>3.8</v>
      </c>
    </row>
    <row r="821" spans="1:7" x14ac:dyDescent="0.25">
      <c r="A821">
        <v>2013</v>
      </c>
      <c r="B821" t="s">
        <v>432</v>
      </c>
      <c r="C821">
        <v>170</v>
      </c>
      <c r="D821">
        <v>878</v>
      </c>
      <c r="E821">
        <v>39</v>
      </c>
      <c r="F821">
        <v>73</v>
      </c>
      <c r="G821">
        <v>2.54</v>
      </c>
    </row>
    <row r="822" spans="1:7" x14ac:dyDescent="0.25">
      <c r="A822">
        <v>2013</v>
      </c>
      <c r="B822" t="s">
        <v>433</v>
      </c>
      <c r="C822">
        <v>170</v>
      </c>
      <c r="D822">
        <v>808</v>
      </c>
      <c r="E822">
        <v>38</v>
      </c>
      <c r="F822">
        <v>80</v>
      </c>
      <c r="G822">
        <v>2.56</v>
      </c>
    </row>
    <row r="823" spans="1:7" x14ac:dyDescent="0.25">
      <c r="A823">
        <v>2013</v>
      </c>
      <c r="B823" t="s">
        <v>434</v>
      </c>
      <c r="C823">
        <v>120</v>
      </c>
      <c r="D823">
        <v>473</v>
      </c>
      <c r="E823">
        <v>32</v>
      </c>
      <c r="F823">
        <v>67</v>
      </c>
      <c r="G823">
        <v>2.42</v>
      </c>
    </row>
    <row r="824" spans="1:7" x14ac:dyDescent="0.25">
      <c r="A824">
        <v>2013</v>
      </c>
      <c r="B824" t="s">
        <v>435</v>
      </c>
      <c r="C824">
        <v>40</v>
      </c>
      <c r="D824">
        <v>185</v>
      </c>
      <c r="E824">
        <v>35</v>
      </c>
      <c r="F824">
        <v>54</v>
      </c>
      <c r="G824">
        <v>2.48</v>
      </c>
    </row>
    <row r="825" spans="1:7" x14ac:dyDescent="0.25">
      <c r="A825">
        <v>2013</v>
      </c>
      <c r="B825" t="s">
        <v>436</v>
      </c>
      <c r="C825">
        <v>120</v>
      </c>
      <c r="D825">
        <v>625</v>
      </c>
      <c r="E825">
        <v>37</v>
      </c>
      <c r="F825">
        <v>67</v>
      </c>
      <c r="G825">
        <v>2.4900000000000002</v>
      </c>
    </row>
    <row r="826" spans="1:7" x14ac:dyDescent="0.25">
      <c r="A826">
        <v>2013</v>
      </c>
      <c r="B826" t="s">
        <v>437</v>
      </c>
      <c r="C826">
        <v>270</v>
      </c>
      <c r="D826">
        <v>1829</v>
      </c>
      <c r="E826">
        <v>43</v>
      </c>
      <c r="F826">
        <v>77</v>
      </c>
      <c r="G826">
        <v>2.63</v>
      </c>
    </row>
    <row r="827" spans="1:7" x14ac:dyDescent="0.25">
      <c r="A827">
        <v>2013</v>
      </c>
      <c r="B827" t="s">
        <v>438</v>
      </c>
      <c r="C827">
        <v>60</v>
      </c>
      <c r="D827">
        <v>2494</v>
      </c>
      <c r="E827">
        <v>56</v>
      </c>
      <c r="F827">
        <v>75</v>
      </c>
      <c r="G827">
        <v>2.77</v>
      </c>
    </row>
    <row r="828" spans="1:7" x14ac:dyDescent="0.25">
      <c r="A828">
        <v>2013</v>
      </c>
      <c r="B828" t="s">
        <v>439</v>
      </c>
      <c r="C828">
        <v>120</v>
      </c>
      <c r="D828">
        <v>463</v>
      </c>
      <c r="E828">
        <v>30</v>
      </c>
      <c r="F828">
        <v>61</v>
      </c>
      <c r="G828">
        <v>2.31</v>
      </c>
    </row>
    <row r="829" spans="1:7" x14ac:dyDescent="0.25">
      <c r="A829">
        <v>2013</v>
      </c>
      <c r="B829" t="s">
        <v>440</v>
      </c>
      <c r="C829">
        <v>30</v>
      </c>
      <c r="D829">
        <v>128</v>
      </c>
      <c r="E829">
        <v>37</v>
      </c>
      <c r="F829">
        <v>56</v>
      </c>
      <c r="G829">
        <v>2.4</v>
      </c>
    </row>
    <row r="830" spans="1:7" x14ac:dyDescent="0.25">
      <c r="A830">
        <v>2013</v>
      </c>
      <c r="B830" t="s">
        <v>441</v>
      </c>
      <c r="C830">
        <v>849</v>
      </c>
      <c r="D830">
        <v>3299</v>
      </c>
      <c r="E830">
        <v>34</v>
      </c>
      <c r="F830">
        <v>71</v>
      </c>
      <c r="G830">
        <v>2.44</v>
      </c>
    </row>
    <row r="831" spans="1:7" x14ac:dyDescent="0.25">
      <c r="A831">
        <v>2013</v>
      </c>
      <c r="B831" t="s">
        <v>442</v>
      </c>
      <c r="C831">
        <v>120</v>
      </c>
      <c r="D831">
        <v>1168</v>
      </c>
      <c r="E831">
        <v>42</v>
      </c>
      <c r="F831">
        <v>64</v>
      </c>
      <c r="G831">
        <v>2.4500000000000002</v>
      </c>
    </row>
    <row r="832" spans="1:7" x14ac:dyDescent="0.25">
      <c r="A832">
        <v>2013</v>
      </c>
      <c r="B832" t="s">
        <v>443</v>
      </c>
      <c r="C832">
        <v>35</v>
      </c>
      <c r="D832">
        <v>118</v>
      </c>
      <c r="E832">
        <v>35</v>
      </c>
      <c r="F832">
        <v>72</v>
      </c>
      <c r="G832">
        <v>2.4900000000000002</v>
      </c>
    </row>
    <row r="833" spans="1:7" x14ac:dyDescent="0.25">
      <c r="A833">
        <v>2013</v>
      </c>
      <c r="B833" t="s">
        <v>444</v>
      </c>
      <c r="C833">
        <v>30</v>
      </c>
      <c r="D833">
        <v>153</v>
      </c>
      <c r="E833">
        <v>32</v>
      </c>
      <c r="F833">
        <v>70</v>
      </c>
      <c r="G833">
        <v>2.27</v>
      </c>
    </row>
    <row r="834" spans="1:7" x14ac:dyDescent="0.25">
      <c r="A834">
        <v>2013</v>
      </c>
      <c r="B834" t="s">
        <v>445</v>
      </c>
      <c r="C834">
        <v>180</v>
      </c>
      <c r="D834">
        <v>881</v>
      </c>
      <c r="E834">
        <v>33</v>
      </c>
      <c r="F834">
        <v>66</v>
      </c>
      <c r="G834">
        <v>2.2400000000000002</v>
      </c>
    </row>
    <row r="835" spans="1:7" x14ac:dyDescent="0.25">
      <c r="A835">
        <v>2013</v>
      </c>
      <c r="B835" t="s">
        <v>446</v>
      </c>
      <c r="C835">
        <v>50</v>
      </c>
      <c r="D835">
        <v>214</v>
      </c>
      <c r="E835">
        <v>29</v>
      </c>
      <c r="F835">
        <v>58</v>
      </c>
      <c r="G835">
        <v>2.3199999999999998</v>
      </c>
    </row>
    <row r="836" spans="1:7" x14ac:dyDescent="0.25">
      <c r="A836">
        <v>2013</v>
      </c>
      <c r="B836" t="s">
        <v>447</v>
      </c>
      <c r="C836">
        <v>50</v>
      </c>
      <c r="D836">
        <v>2423</v>
      </c>
      <c r="E836">
        <v>55</v>
      </c>
      <c r="F836">
        <v>73</v>
      </c>
      <c r="G836">
        <v>2.7</v>
      </c>
    </row>
    <row r="837" spans="1:7" x14ac:dyDescent="0.25">
      <c r="A837">
        <v>2013</v>
      </c>
      <c r="B837" t="s">
        <v>448</v>
      </c>
      <c r="C837">
        <v>60</v>
      </c>
      <c r="D837">
        <v>2574</v>
      </c>
      <c r="E837">
        <v>59</v>
      </c>
      <c r="F837">
        <v>85</v>
      </c>
      <c r="G837">
        <v>2.75</v>
      </c>
    </row>
    <row r="838" spans="1:7" x14ac:dyDescent="0.25">
      <c r="A838">
        <v>2013</v>
      </c>
      <c r="B838" t="s">
        <v>449</v>
      </c>
      <c r="C838">
        <v>50</v>
      </c>
      <c r="D838">
        <v>887</v>
      </c>
      <c r="E838">
        <v>47</v>
      </c>
      <c r="F838">
        <v>65</v>
      </c>
      <c r="G838">
        <v>2.52</v>
      </c>
    </row>
    <row r="839" spans="1:7" x14ac:dyDescent="0.25">
      <c r="A839">
        <v>2013</v>
      </c>
      <c r="B839" t="s">
        <v>450</v>
      </c>
      <c r="C839">
        <v>60</v>
      </c>
      <c r="D839">
        <v>773</v>
      </c>
      <c r="E839">
        <v>42</v>
      </c>
      <c r="F839">
        <v>63</v>
      </c>
      <c r="G839">
        <v>2.65</v>
      </c>
    </row>
    <row r="840" spans="1:7" x14ac:dyDescent="0.25">
      <c r="A840">
        <v>2013</v>
      </c>
      <c r="B840" t="s">
        <v>451</v>
      </c>
      <c r="C840">
        <v>30</v>
      </c>
      <c r="D840">
        <v>361</v>
      </c>
      <c r="E840">
        <v>38</v>
      </c>
      <c r="F840">
        <v>66</v>
      </c>
      <c r="G840">
        <v>2.63</v>
      </c>
    </row>
    <row r="841" spans="1:7" x14ac:dyDescent="0.25">
      <c r="A841">
        <v>2013</v>
      </c>
      <c r="B841" t="s">
        <v>452</v>
      </c>
      <c r="C841">
        <v>300</v>
      </c>
      <c r="D841">
        <v>8256</v>
      </c>
      <c r="E841">
        <v>48</v>
      </c>
      <c r="F841">
        <v>72</v>
      </c>
      <c r="G841">
        <v>2.5</v>
      </c>
    </row>
    <row r="842" spans="1:7" x14ac:dyDescent="0.25">
      <c r="A842">
        <v>2013</v>
      </c>
      <c r="B842" t="s">
        <v>453</v>
      </c>
      <c r="C842">
        <v>120</v>
      </c>
      <c r="D842">
        <v>1657</v>
      </c>
      <c r="E842">
        <v>50</v>
      </c>
      <c r="F842">
        <v>81</v>
      </c>
      <c r="G842">
        <v>2.83</v>
      </c>
    </row>
    <row r="843" spans="1:7" x14ac:dyDescent="0.25">
      <c r="A843">
        <v>2013</v>
      </c>
      <c r="B843" t="s">
        <v>454</v>
      </c>
      <c r="C843">
        <v>30</v>
      </c>
      <c r="D843">
        <v>357</v>
      </c>
      <c r="E843">
        <v>44</v>
      </c>
      <c r="F843">
        <v>63</v>
      </c>
      <c r="G843">
        <v>2.9</v>
      </c>
    </row>
    <row r="844" spans="1:7" x14ac:dyDescent="0.25">
      <c r="A844">
        <v>2013</v>
      </c>
      <c r="B844" t="s">
        <v>455</v>
      </c>
      <c r="C844">
        <v>60</v>
      </c>
      <c r="D844">
        <v>559</v>
      </c>
      <c r="E844">
        <v>45</v>
      </c>
      <c r="F844">
        <v>75</v>
      </c>
      <c r="G844">
        <v>2.58</v>
      </c>
    </row>
    <row r="845" spans="1:7" x14ac:dyDescent="0.25">
      <c r="A845">
        <v>2013</v>
      </c>
      <c r="B845" t="s">
        <v>456</v>
      </c>
      <c r="C845">
        <v>40</v>
      </c>
      <c r="D845">
        <v>1194</v>
      </c>
      <c r="E845">
        <v>58</v>
      </c>
      <c r="F845">
        <v>84</v>
      </c>
      <c r="G845">
        <v>2.58</v>
      </c>
    </row>
    <row r="846" spans="1:7" x14ac:dyDescent="0.25">
      <c r="A846">
        <v>2013</v>
      </c>
      <c r="B846" t="s">
        <v>457</v>
      </c>
      <c r="C846">
        <v>60</v>
      </c>
      <c r="D846">
        <v>158</v>
      </c>
      <c r="E846">
        <v>27</v>
      </c>
      <c r="F846">
        <v>52</v>
      </c>
      <c r="G846">
        <v>1.88</v>
      </c>
    </row>
    <row r="847" spans="1:7" x14ac:dyDescent="0.25">
      <c r="A847">
        <v>2013</v>
      </c>
      <c r="B847" t="s">
        <v>458</v>
      </c>
      <c r="C847">
        <v>40</v>
      </c>
      <c r="D847">
        <v>195</v>
      </c>
      <c r="E847">
        <v>35</v>
      </c>
      <c r="F847">
        <v>60</v>
      </c>
      <c r="G847">
        <v>2.5299999999999998</v>
      </c>
    </row>
    <row r="848" spans="1:7" x14ac:dyDescent="0.25">
      <c r="A848">
        <v>2013</v>
      </c>
      <c r="B848" t="s">
        <v>459</v>
      </c>
      <c r="C848">
        <v>100</v>
      </c>
      <c r="D848">
        <v>877</v>
      </c>
      <c r="E848">
        <v>39</v>
      </c>
      <c r="F848">
        <v>62</v>
      </c>
      <c r="G848">
        <v>2.36</v>
      </c>
    </row>
    <row r="849" spans="1:7" x14ac:dyDescent="0.25">
      <c r="A849">
        <v>2013</v>
      </c>
      <c r="B849" t="s">
        <v>460</v>
      </c>
      <c r="C849">
        <v>60</v>
      </c>
      <c r="D849">
        <v>381</v>
      </c>
      <c r="E849">
        <v>33</v>
      </c>
      <c r="F849">
        <v>61</v>
      </c>
      <c r="G849">
        <v>2.5299999999999998</v>
      </c>
    </row>
    <row r="850" spans="1:7" x14ac:dyDescent="0.25">
      <c r="A850">
        <v>2013</v>
      </c>
      <c r="B850" t="s">
        <v>461</v>
      </c>
      <c r="C850">
        <v>80</v>
      </c>
      <c r="D850">
        <v>735</v>
      </c>
      <c r="E850">
        <v>38</v>
      </c>
      <c r="F850">
        <v>66</v>
      </c>
      <c r="G850">
        <v>2.76</v>
      </c>
    </row>
    <row r="851" spans="1:7" x14ac:dyDescent="0.25">
      <c r="A851">
        <v>2013</v>
      </c>
      <c r="B851" t="s">
        <v>462</v>
      </c>
      <c r="C851">
        <v>130</v>
      </c>
      <c r="D851">
        <v>553</v>
      </c>
      <c r="E851">
        <v>31</v>
      </c>
      <c r="F851">
        <v>58</v>
      </c>
      <c r="G851">
        <v>2.35</v>
      </c>
    </row>
    <row r="852" spans="1:7" x14ac:dyDescent="0.25">
      <c r="A852">
        <v>2013</v>
      </c>
      <c r="B852" t="s">
        <v>463</v>
      </c>
      <c r="C852">
        <v>200</v>
      </c>
      <c r="D852">
        <v>1279</v>
      </c>
      <c r="E852">
        <v>39</v>
      </c>
      <c r="F852">
        <v>69</v>
      </c>
      <c r="G852">
        <v>2.65</v>
      </c>
    </row>
    <row r="853" spans="1:7" x14ac:dyDescent="0.25">
      <c r="A853">
        <v>2013</v>
      </c>
      <c r="B853" t="s">
        <v>464</v>
      </c>
      <c r="C853">
        <v>40</v>
      </c>
      <c r="D853">
        <v>189</v>
      </c>
      <c r="E853">
        <v>35</v>
      </c>
      <c r="F853">
        <v>62</v>
      </c>
      <c r="G853">
        <v>2.58</v>
      </c>
    </row>
    <row r="854" spans="1:7" x14ac:dyDescent="0.25">
      <c r="A854">
        <v>2013</v>
      </c>
      <c r="B854" t="s">
        <v>465</v>
      </c>
      <c r="C854">
        <v>150</v>
      </c>
      <c r="D854">
        <v>1282</v>
      </c>
      <c r="E854">
        <v>47</v>
      </c>
      <c r="F854">
        <v>73</v>
      </c>
      <c r="G854">
        <v>2.56</v>
      </c>
    </row>
    <row r="855" spans="1:7" x14ac:dyDescent="0.25">
      <c r="A855">
        <v>2013</v>
      </c>
      <c r="B855" t="s">
        <v>466</v>
      </c>
      <c r="C855">
        <v>80</v>
      </c>
      <c r="D855">
        <v>552</v>
      </c>
      <c r="E855">
        <v>42</v>
      </c>
      <c r="F855">
        <v>76</v>
      </c>
      <c r="G855">
        <v>2.64</v>
      </c>
    </row>
    <row r="856" spans="1:7" x14ac:dyDescent="0.25">
      <c r="A856">
        <v>2013</v>
      </c>
      <c r="B856" t="s">
        <v>467</v>
      </c>
      <c r="C856">
        <v>25</v>
      </c>
      <c r="D856">
        <v>752</v>
      </c>
      <c r="E856">
        <v>47</v>
      </c>
      <c r="F856">
        <v>68</v>
      </c>
      <c r="G856">
        <v>2.48</v>
      </c>
    </row>
    <row r="857" spans="1:7" x14ac:dyDescent="0.25">
      <c r="A857">
        <v>2013</v>
      </c>
      <c r="B857" t="s">
        <v>468</v>
      </c>
      <c r="C857">
        <v>40</v>
      </c>
      <c r="D857">
        <v>548</v>
      </c>
      <c r="E857">
        <v>40</v>
      </c>
      <c r="F857">
        <v>67</v>
      </c>
      <c r="G857">
        <v>2.5299999999999998</v>
      </c>
    </row>
    <row r="858" spans="1:7" x14ac:dyDescent="0.25">
      <c r="A858">
        <v>2013</v>
      </c>
      <c r="B858" t="s">
        <v>469</v>
      </c>
      <c r="C858">
        <v>25</v>
      </c>
      <c r="D858">
        <v>200</v>
      </c>
      <c r="E858">
        <v>39</v>
      </c>
      <c r="F858">
        <v>61</v>
      </c>
      <c r="G858">
        <v>2.4</v>
      </c>
    </row>
    <row r="859" spans="1:7" x14ac:dyDescent="0.25">
      <c r="A859">
        <v>2013</v>
      </c>
      <c r="B859" t="s">
        <v>470</v>
      </c>
      <c r="C859">
        <v>40</v>
      </c>
      <c r="D859">
        <v>268</v>
      </c>
      <c r="E859">
        <v>38</v>
      </c>
      <c r="F859">
        <v>60</v>
      </c>
      <c r="G859">
        <v>2.33</v>
      </c>
    </row>
    <row r="860" spans="1:7" x14ac:dyDescent="0.25">
      <c r="A860">
        <v>2013</v>
      </c>
      <c r="B860" t="s">
        <v>471</v>
      </c>
      <c r="C860">
        <v>30</v>
      </c>
      <c r="D860">
        <v>106</v>
      </c>
      <c r="E860">
        <v>30</v>
      </c>
      <c r="F860">
        <v>53</v>
      </c>
      <c r="G860">
        <v>2.23</v>
      </c>
    </row>
    <row r="861" spans="1:7" x14ac:dyDescent="0.25">
      <c r="A861">
        <v>2013</v>
      </c>
      <c r="B861" t="s">
        <v>472</v>
      </c>
      <c r="C861">
        <v>60</v>
      </c>
      <c r="D861">
        <v>177</v>
      </c>
      <c r="E861">
        <v>27</v>
      </c>
      <c r="F861">
        <v>59</v>
      </c>
      <c r="G861">
        <v>1.98</v>
      </c>
    </row>
    <row r="862" spans="1:7" x14ac:dyDescent="0.25">
      <c r="A862">
        <v>2013</v>
      </c>
      <c r="B862" t="s">
        <v>473</v>
      </c>
      <c r="C862">
        <v>275</v>
      </c>
      <c r="D862">
        <v>15517</v>
      </c>
      <c r="E862">
        <v>73</v>
      </c>
      <c r="F862">
        <v>87</v>
      </c>
      <c r="G862">
        <v>2.95</v>
      </c>
    </row>
    <row r="863" spans="1:7" x14ac:dyDescent="0.25">
      <c r="A863">
        <v>2013</v>
      </c>
      <c r="B863" t="s">
        <v>474</v>
      </c>
      <c r="C863">
        <v>100</v>
      </c>
      <c r="D863">
        <v>4545</v>
      </c>
      <c r="E863">
        <v>71</v>
      </c>
      <c r="F863">
        <v>84</v>
      </c>
      <c r="G863">
        <v>3.32</v>
      </c>
    </row>
    <row r="864" spans="1:7" x14ac:dyDescent="0.25">
      <c r="A864">
        <v>2013</v>
      </c>
      <c r="B864" t="s">
        <v>475</v>
      </c>
      <c r="C864">
        <v>80</v>
      </c>
      <c r="D864">
        <v>1793</v>
      </c>
      <c r="E864">
        <v>50</v>
      </c>
      <c r="F864">
        <v>76</v>
      </c>
      <c r="G864">
        <v>2.85</v>
      </c>
    </row>
    <row r="865" spans="1:7" x14ac:dyDescent="0.25">
      <c r="A865">
        <v>2013</v>
      </c>
      <c r="B865" t="s">
        <v>476</v>
      </c>
      <c r="C865">
        <v>60</v>
      </c>
      <c r="D865">
        <v>917</v>
      </c>
      <c r="E865">
        <v>46</v>
      </c>
      <c r="F865">
        <v>67</v>
      </c>
      <c r="G865">
        <v>2.63</v>
      </c>
    </row>
    <row r="866" spans="1:7" x14ac:dyDescent="0.25">
      <c r="A866">
        <v>2013</v>
      </c>
      <c r="B866" t="s">
        <v>477</v>
      </c>
      <c r="C866">
        <v>80</v>
      </c>
      <c r="D866">
        <v>1022</v>
      </c>
      <c r="E866">
        <v>42</v>
      </c>
      <c r="F866">
        <v>66</v>
      </c>
      <c r="G866">
        <v>2.5499999999999998</v>
      </c>
    </row>
    <row r="867" spans="1:7" x14ac:dyDescent="0.25">
      <c r="A867">
        <v>2013</v>
      </c>
      <c r="B867" t="s">
        <v>478</v>
      </c>
      <c r="C867">
        <v>30</v>
      </c>
      <c r="D867">
        <v>323</v>
      </c>
      <c r="E867">
        <v>40</v>
      </c>
      <c r="F867">
        <v>73</v>
      </c>
      <c r="G867">
        <v>2.63</v>
      </c>
    </row>
    <row r="868" spans="1:7" x14ac:dyDescent="0.25">
      <c r="A868">
        <v>2013</v>
      </c>
      <c r="B868" t="s">
        <v>479</v>
      </c>
      <c r="C868">
        <v>60</v>
      </c>
      <c r="D868">
        <v>314</v>
      </c>
      <c r="E868">
        <v>34</v>
      </c>
      <c r="F868">
        <v>56</v>
      </c>
      <c r="G868">
        <v>2.2999999999999998</v>
      </c>
    </row>
    <row r="869" spans="1:7" x14ac:dyDescent="0.25">
      <c r="A869">
        <v>2013</v>
      </c>
      <c r="B869" t="s">
        <v>480</v>
      </c>
      <c r="C869">
        <v>133</v>
      </c>
      <c r="D869">
        <v>1394</v>
      </c>
      <c r="E869">
        <v>43</v>
      </c>
      <c r="F869">
        <v>74</v>
      </c>
      <c r="G869">
        <v>2.5299999999999998</v>
      </c>
    </row>
    <row r="870" spans="1:7" x14ac:dyDescent="0.25">
      <c r="A870">
        <v>2013</v>
      </c>
      <c r="B870" t="s">
        <v>481</v>
      </c>
      <c r="C870">
        <v>50</v>
      </c>
      <c r="D870">
        <v>625</v>
      </c>
      <c r="E870">
        <v>45</v>
      </c>
      <c r="F870">
        <v>65</v>
      </c>
      <c r="G870">
        <v>2.56</v>
      </c>
    </row>
    <row r="871" spans="1:7" x14ac:dyDescent="0.25">
      <c r="A871">
        <v>2013</v>
      </c>
      <c r="B871" t="s">
        <v>482</v>
      </c>
      <c r="C871">
        <v>80</v>
      </c>
      <c r="D871">
        <v>906</v>
      </c>
      <c r="E871">
        <v>44</v>
      </c>
      <c r="F871">
        <v>70</v>
      </c>
      <c r="G871">
        <v>2.5299999999999998</v>
      </c>
    </row>
    <row r="872" spans="1:7" x14ac:dyDescent="0.25">
      <c r="A872">
        <v>2013</v>
      </c>
      <c r="B872" t="s">
        <v>483</v>
      </c>
      <c r="C872">
        <v>70</v>
      </c>
      <c r="D872">
        <v>2651</v>
      </c>
      <c r="E872">
        <v>55</v>
      </c>
      <c r="F872">
        <v>74</v>
      </c>
      <c r="G872">
        <v>2.5299999999999998</v>
      </c>
    </row>
    <row r="873" spans="1:7" x14ac:dyDescent="0.25">
      <c r="A873">
        <v>2013</v>
      </c>
      <c r="B873" t="s">
        <v>484</v>
      </c>
      <c r="C873">
        <v>40</v>
      </c>
      <c r="D873">
        <v>1144</v>
      </c>
      <c r="E873">
        <v>52</v>
      </c>
      <c r="F873">
        <v>73</v>
      </c>
      <c r="G873">
        <v>2.68</v>
      </c>
    </row>
    <row r="874" spans="1:7" x14ac:dyDescent="0.25">
      <c r="A874">
        <v>2013</v>
      </c>
      <c r="B874" t="s">
        <v>485</v>
      </c>
      <c r="C874">
        <v>40</v>
      </c>
      <c r="D874">
        <v>391</v>
      </c>
      <c r="E874">
        <v>39</v>
      </c>
      <c r="F874">
        <v>61</v>
      </c>
      <c r="G874">
        <v>2.48</v>
      </c>
    </row>
    <row r="875" spans="1:7" x14ac:dyDescent="0.25">
      <c r="A875">
        <v>2013</v>
      </c>
      <c r="B875" t="s">
        <v>486</v>
      </c>
      <c r="C875">
        <v>25</v>
      </c>
      <c r="D875">
        <v>196</v>
      </c>
      <c r="E875">
        <v>39</v>
      </c>
      <c r="F875">
        <v>61</v>
      </c>
      <c r="G875">
        <v>2.64</v>
      </c>
    </row>
    <row r="876" spans="1:7" x14ac:dyDescent="0.25">
      <c r="A876">
        <v>2013</v>
      </c>
      <c r="B876" t="s">
        <v>487</v>
      </c>
      <c r="C876">
        <v>20</v>
      </c>
      <c r="D876">
        <v>150</v>
      </c>
      <c r="E876">
        <v>34</v>
      </c>
      <c r="F876">
        <v>52</v>
      </c>
      <c r="G876">
        <v>2.5499999999999998</v>
      </c>
    </row>
    <row r="877" spans="1:7" x14ac:dyDescent="0.25">
      <c r="A877">
        <v>2013</v>
      </c>
      <c r="B877" t="s">
        <v>488</v>
      </c>
      <c r="C877">
        <v>40</v>
      </c>
      <c r="D877">
        <v>300</v>
      </c>
      <c r="E877">
        <v>37</v>
      </c>
      <c r="F877">
        <v>68</v>
      </c>
      <c r="G877">
        <v>2.33</v>
      </c>
    </row>
    <row r="878" spans="1:7" x14ac:dyDescent="0.25">
      <c r="A878">
        <v>2013</v>
      </c>
      <c r="B878" t="s">
        <v>489</v>
      </c>
      <c r="C878">
        <v>300</v>
      </c>
      <c r="D878">
        <v>5917</v>
      </c>
      <c r="E878">
        <v>48</v>
      </c>
      <c r="F878">
        <v>77</v>
      </c>
      <c r="G878">
        <v>2.35</v>
      </c>
    </row>
    <row r="879" spans="1:7" x14ac:dyDescent="0.25">
      <c r="A879">
        <v>2013</v>
      </c>
      <c r="B879" t="s">
        <v>490</v>
      </c>
      <c r="C879">
        <v>40</v>
      </c>
      <c r="D879">
        <v>242</v>
      </c>
      <c r="E879">
        <v>44</v>
      </c>
      <c r="F879">
        <v>71</v>
      </c>
      <c r="G879">
        <v>2.8</v>
      </c>
    </row>
    <row r="880" spans="1:7" x14ac:dyDescent="0.25">
      <c r="A880">
        <v>2013</v>
      </c>
      <c r="B880" t="s">
        <v>491</v>
      </c>
      <c r="C880">
        <v>120</v>
      </c>
      <c r="D880">
        <v>267</v>
      </c>
      <c r="E880">
        <v>27</v>
      </c>
      <c r="F880">
        <v>63</v>
      </c>
      <c r="G880">
        <v>1.49</v>
      </c>
    </row>
    <row r="881" spans="1:7" x14ac:dyDescent="0.25">
      <c r="A881">
        <v>2013</v>
      </c>
      <c r="B881" t="s">
        <v>492</v>
      </c>
      <c r="C881">
        <v>330</v>
      </c>
      <c r="D881">
        <v>3229</v>
      </c>
      <c r="E881">
        <v>44</v>
      </c>
      <c r="F881">
        <v>78</v>
      </c>
      <c r="G881">
        <v>2.83</v>
      </c>
    </row>
    <row r="882" spans="1:7" x14ac:dyDescent="0.25">
      <c r="A882">
        <v>2013</v>
      </c>
      <c r="B882" t="s">
        <v>493</v>
      </c>
      <c r="C882">
        <v>40</v>
      </c>
      <c r="D882">
        <v>1085</v>
      </c>
      <c r="E882">
        <v>66</v>
      </c>
      <c r="F882">
        <v>82</v>
      </c>
      <c r="G882">
        <v>2.83</v>
      </c>
    </row>
    <row r="883" spans="1:7" x14ac:dyDescent="0.25">
      <c r="A883">
        <v>2013</v>
      </c>
      <c r="B883" t="s">
        <v>494</v>
      </c>
      <c r="C883">
        <v>40</v>
      </c>
      <c r="D883">
        <v>592</v>
      </c>
      <c r="E883">
        <v>46</v>
      </c>
      <c r="F883">
        <v>70</v>
      </c>
      <c r="G883">
        <v>2.5</v>
      </c>
    </row>
    <row r="884" spans="1:7" x14ac:dyDescent="0.25">
      <c r="A884">
        <v>2013</v>
      </c>
      <c r="B884" t="s">
        <v>495</v>
      </c>
      <c r="C884">
        <v>40</v>
      </c>
      <c r="D884">
        <v>650</v>
      </c>
      <c r="E884">
        <v>50</v>
      </c>
      <c r="F884">
        <v>70</v>
      </c>
      <c r="G884">
        <v>2.7</v>
      </c>
    </row>
    <row r="885" spans="1:7" x14ac:dyDescent="0.25">
      <c r="A885">
        <v>2013</v>
      </c>
      <c r="B885" t="s">
        <v>496</v>
      </c>
      <c r="C885">
        <v>40</v>
      </c>
      <c r="D885">
        <v>275</v>
      </c>
      <c r="E885">
        <v>45</v>
      </c>
      <c r="F885">
        <v>70</v>
      </c>
      <c r="G885">
        <v>2.63</v>
      </c>
    </row>
    <row r="886" spans="1:7" x14ac:dyDescent="0.25">
      <c r="A886">
        <v>2013</v>
      </c>
      <c r="B886" t="s">
        <v>497</v>
      </c>
      <c r="C886">
        <v>60</v>
      </c>
      <c r="D886">
        <v>3191</v>
      </c>
      <c r="E886">
        <v>63</v>
      </c>
      <c r="F886">
        <v>84</v>
      </c>
      <c r="G886">
        <v>2.7</v>
      </c>
    </row>
    <row r="887" spans="1:7" x14ac:dyDescent="0.25">
      <c r="A887">
        <v>2013</v>
      </c>
      <c r="B887" t="s">
        <v>498</v>
      </c>
      <c r="C887">
        <v>100</v>
      </c>
      <c r="D887">
        <v>601</v>
      </c>
      <c r="E887">
        <v>40</v>
      </c>
      <c r="F887">
        <v>72</v>
      </c>
      <c r="G887">
        <v>2.4700000000000002</v>
      </c>
    </row>
    <row r="888" spans="1:7" x14ac:dyDescent="0.25">
      <c r="A888">
        <v>2013</v>
      </c>
      <c r="B888" t="s">
        <v>499</v>
      </c>
      <c r="C888">
        <v>60</v>
      </c>
      <c r="D888">
        <v>161</v>
      </c>
      <c r="E888">
        <v>27</v>
      </c>
      <c r="F888">
        <v>65</v>
      </c>
      <c r="G888">
        <v>2.17</v>
      </c>
    </row>
    <row r="889" spans="1:7" x14ac:dyDescent="0.25">
      <c r="A889">
        <v>2013</v>
      </c>
      <c r="B889" t="s">
        <v>500</v>
      </c>
      <c r="C889">
        <v>40</v>
      </c>
      <c r="D889">
        <v>319</v>
      </c>
      <c r="E889">
        <v>44</v>
      </c>
      <c r="F889">
        <v>67</v>
      </c>
      <c r="G889">
        <v>2.65</v>
      </c>
    </row>
    <row r="890" spans="1:7" x14ac:dyDescent="0.25">
      <c r="A890">
        <v>2013</v>
      </c>
      <c r="B890" t="s">
        <v>501</v>
      </c>
      <c r="C890">
        <v>50</v>
      </c>
      <c r="D890">
        <v>438</v>
      </c>
      <c r="E890">
        <v>51</v>
      </c>
      <c r="F890">
        <v>73</v>
      </c>
      <c r="G890">
        <v>2.78</v>
      </c>
    </row>
    <row r="891" spans="1:7" x14ac:dyDescent="0.25">
      <c r="A891">
        <v>2013</v>
      </c>
      <c r="B891" t="s">
        <v>502</v>
      </c>
      <c r="C891">
        <v>40</v>
      </c>
      <c r="D891">
        <v>1161</v>
      </c>
      <c r="E891">
        <v>52</v>
      </c>
      <c r="F891">
        <v>74</v>
      </c>
      <c r="G891">
        <v>2.65</v>
      </c>
    </row>
    <row r="892" spans="1:7" x14ac:dyDescent="0.25">
      <c r="A892">
        <v>2013</v>
      </c>
      <c r="B892" t="s">
        <v>527</v>
      </c>
      <c r="C892">
        <v>150</v>
      </c>
      <c r="D892">
        <v>2649</v>
      </c>
      <c r="E892">
        <v>55</v>
      </c>
      <c r="F892">
        <v>80</v>
      </c>
      <c r="G892">
        <v>2.79</v>
      </c>
    </row>
    <row r="893" spans="1:7" x14ac:dyDescent="0.25">
      <c r="A893">
        <v>2013</v>
      </c>
      <c r="B893" t="s">
        <v>504</v>
      </c>
      <c r="C893">
        <v>40</v>
      </c>
      <c r="D893">
        <v>382</v>
      </c>
      <c r="E893">
        <v>48</v>
      </c>
      <c r="F893">
        <v>78</v>
      </c>
      <c r="G893">
        <v>2.73</v>
      </c>
    </row>
    <row r="894" spans="1:7" x14ac:dyDescent="0.25">
      <c r="A894">
        <v>2013</v>
      </c>
      <c r="B894" t="s">
        <v>505</v>
      </c>
      <c r="C894">
        <v>820</v>
      </c>
      <c r="D894">
        <v>12680</v>
      </c>
      <c r="E894">
        <v>61</v>
      </c>
      <c r="F894">
        <v>86</v>
      </c>
      <c r="G894">
        <v>2.82</v>
      </c>
    </row>
    <row r="895" spans="1:7" x14ac:dyDescent="0.25">
      <c r="A895">
        <v>2013</v>
      </c>
      <c r="B895" t="s">
        <v>506</v>
      </c>
      <c r="C895">
        <v>160</v>
      </c>
      <c r="D895">
        <v>2018</v>
      </c>
      <c r="E895">
        <v>51</v>
      </c>
      <c r="F895">
        <v>79</v>
      </c>
      <c r="G895">
        <v>2.84</v>
      </c>
    </row>
    <row r="896" spans="1:7" x14ac:dyDescent="0.25">
      <c r="A896">
        <v>2013</v>
      </c>
      <c r="B896" t="s">
        <v>507</v>
      </c>
      <c r="C896">
        <v>150</v>
      </c>
      <c r="D896">
        <v>2795</v>
      </c>
      <c r="E896">
        <v>59</v>
      </c>
      <c r="F896">
        <v>82</v>
      </c>
      <c r="G896">
        <v>2.96</v>
      </c>
    </row>
    <row r="897" spans="1:7" x14ac:dyDescent="0.25">
      <c r="A897">
        <v>2013</v>
      </c>
      <c r="B897" t="s">
        <v>528</v>
      </c>
      <c r="C897">
        <v>455</v>
      </c>
      <c r="D897">
        <v>2223</v>
      </c>
      <c r="E897">
        <v>39</v>
      </c>
      <c r="F897">
        <v>80</v>
      </c>
      <c r="G897">
        <v>2.66</v>
      </c>
    </row>
    <row r="898" spans="1:7" x14ac:dyDescent="0.25">
      <c r="A898">
        <v>2013</v>
      </c>
      <c r="B898" t="s">
        <v>509</v>
      </c>
      <c r="C898">
        <v>40</v>
      </c>
      <c r="D898">
        <v>174</v>
      </c>
      <c r="E898">
        <v>36</v>
      </c>
      <c r="F898">
        <v>70</v>
      </c>
      <c r="G898">
        <v>2.4300000000000002</v>
      </c>
    </row>
    <row r="899" spans="1:7" x14ac:dyDescent="0.25">
      <c r="A899">
        <v>2013</v>
      </c>
      <c r="B899" t="s">
        <v>510</v>
      </c>
      <c r="C899">
        <v>50</v>
      </c>
      <c r="D899">
        <v>706</v>
      </c>
      <c r="E899">
        <v>51</v>
      </c>
      <c r="F899">
        <v>73</v>
      </c>
      <c r="G899">
        <v>2.86</v>
      </c>
    </row>
    <row r="900" spans="1:7" x14ac:dyDescent="0.25">
      <c r="A900">
        <v>2013</v>
      </c>
      <c r="B900" t="s">
        <v>511</v>
      </c>
      <c r="C900">
        <v>40</v>
      </c>
      <c r="D900">
        <v>142</v>
      </c>
      <c r="E900">
        <v>32</v>
      </c>
      <c r="F900">
        <v>64</v>
      </c>
      <c r="G900">
        <v>2.38</v>
      </c>
    </row>
    <row r="901" spans="1:7" x14ac:dyDescent="0.25">
      <c r="A901">
        <v>2013</v>
      </c>
      <c r="B901" t="s">
        <v>512</v>
      </c>
      <c r="C901">
        <v>40</v>
      </c>
      <c r="D901">
        <v>253</v>
      </c>
      <c r="E901">
        <v>36</v>
      </c>
      <c r="F901">
        <v>70</v>
      </c>
      <c r="G901">
        <v>2.63</v>
      </c>
    </row>
    <row r="902" spans="1:7" x14ac:dyDescent="0.25">
      <c r="A902">
        <v>2013</v>
      </c>
      <c r="B902" t="s">
        <v>513</v>
      </c>
      <c r="C902">
        <v>50</v>
      </c>
      <c r="D902">
        <v>186</v>
      </c>
      <c r="E902">
        <v>33</v>
      </c>
      <c r="F902">
        <v>64</v>
      </c>
      <c r="G902">
        <v>2.2799999999999998</v>
      </c>
    </row>
    <row r="903" spans="1:7" x14ac:dyDescent="0.25">
      <c r="A903">
        <v>2013</v>
      </c>
      <c r="B903" t="s">
        <v>514</v>
      </c>
      <c r="C903">
        <v>40</v>
      </c>
      <c r="D903">
        <v>104</v>
      </c>
      <c r="E903">
        <v>27</v>
      </c>
      <c r="F903">
        <v>67</v>
      </c>
      <c r="G903">
        <v>2.0499999999999998</v>
      </c>
    </row>
    <row r="904" spans="1:7" x14ac:dyDescent="0.25">
      <c r="A904">
        <v>2013</v>
      </c>
      <c r="B904" t="s">
        <v>515</v>
      </c>
      <c r="C904">
        <v>260</v>
      </c>
      <c r="D904">
        <v>730</v>
      </c>
      <c r="E904">
        <v>27</v>
      </c>
      <c r="F904">
        <v>69</v>
      </c>
      <c r="G904">
        <v>2.1800000000000002</v>
      </c>
    </row>
    <row r="905" spans="1:7" x14ac:dyDescent="0.25">
      <c r="A905">
        <v>2013</v>
      </c>
      <c r="B905" t="s">
        <v>516</v>
      </c>
      <c r="C905">
        <v>45</v>
      </c>
      <c r="D905">
        <v>137</v>
      </c>
      <c r="E905">
        <v>29</v>
      </c>
      <c r="F905">
        <v>73</v>
      </c>
      <c r="G905">
        <v>2.44</v>
      </c>
    </row>
    <row r="906" spans="1:7" x14ac:dyDescent="0.25">
      <c r="A906">
        <v>2013</v>
      </c>
      <c r="B906" t="s">
        <v>517</v>
      </c>
      <c r="C906">
        <v>95</v>
      </c>
      <c r="D906">
        <v>374</v>
      </c>
      <c r="E906">
        <v>34</v>
      </c>
      <c r="F906">
        <v>66</v>
      </c>
      <c r="G906">
        <v>2.3199999999999998</v>
      </c>
    </row>
    <row r="907" spans="1:7" x14ac:dyDescent="0.25">
      <c r="A907">
        <v>2013</v>
      </c>
      <c r="B907" t="s">
        <v>518</v>
      </c>
      <c r="C907">
        <v>40</v>
      </c>
      <c r="D907">
        <v>279</v>
      </c>
      <c r="E907">
        <v>41</v>
      </c>
      <c r="F907">
        <v>79</v>
      </c>
      <c r="G907">
        <v>2.68</v>
      </c>
    </row>
    <row r="908" spans="1:7" x14ac:dyDescent="0.25">
      <c r="A908">
        <v>2013</v>
      </c>
      <c r="B908" t="s">
        <v>519</v>
      </c>
      <c r="C908">
        <v>30</v>
      </c>
      <c r="D908">
        <v>145</v>
      </c>
      <c r="E908">
        <v>38</v>
      </c>
      <c r="F908">
        <v>68</v>
      </c>
      <c r="G908">
        <v>2.4300000000000002</v>
      </c>
    </row>
    <row r="909" spans="1:7" x14ac:dyDescent="0.25">
      <c r="A909">
        <v>2013</v>
      </c>
      <c r="B909" t="s">
        <v>520</v>
      </c>
      <c r="C909">
        <v>60</v>
      </c>
      <c r="D909">
        <v>434</v>
      </c>
      <c r="E909">
        <v>40</v>
      </c>
      <c r="F909">
        <v>73</v>
      </c>
      <c r="G909">
        <v>2.85</v>
      </c>
    </row>
    <row r="910" spans="1:7" x14ac:dyDescent="0.25">
      <c r="A910">
        <v>2013</v>
      </c>
      <c r="B910" t="s">
        <v>521</v>
      </c>
      <c r="C910">
        <v>60</v>
      </c>
      <c r="D910">
        <v>709</v>
      </c>
      <c r="E910">
        <v>50</v>
      </c>
      <c r="F910">
        <v>82</v>
      </c>
      <c r="G910">
        <v>3.02</v>
      </c>
    </row>
    <row r="911" spans="1:7" x14ac:dyDescent="0.25">
      <c r="A911">
        <v>2013</v>
      </c>
      <c r="B911" t="s">
        <v>522</v>
      </c>
      <c r="C911">
        <v>30</v>
      </c>
      <c r="D911">
        <v>174</v>
      </c>
      <c r="E911">
        <v>40</v>
      </c>
      <c r="F911">
        <v>70</v>
      </c>
      <c r="G911">
        <v>2.67</v>
      </c>
    </row>
    <row r="912" spans="1:7" x14ac:dyDescent="0.25">
      <c r="A912">
        <v>2013</v>
      </c>
      <c r="B912" t="s">
        <v>523</v>
      </c>
      <c r="C912">
        <v>40</v>
      </c>
      <c r="D912">
        <v>141</v>
      </c>
      <c r="E912">
        <v>30</v>
      </c>
      <c r="F912">
        <v>59</v>
      </c>
      <c r="G912">
        <v>2.48</v>
      </c>
    </row>
    <row r="913" spans="1:7" x14ac:dyDescent="0.25">
      <c r="A913">
        <v>2013</v>
      </c>
      <c r="B913" t="s">
        <v>524</v>
      </c>
      <c r="C913">
        <v>60</v>
      </c>
      <c r="D913">
        <v>366</v>
      </c>
      <c r="E913">
        <v>42</v>
      </c>
      <c r="F913">
        <v>79</v>
      </c>
      <c r="G913">
        <v>2.65</v>
      </c>
    </row>
    <row r="914" spans="1:7" x14ac:dyDescent="0.25">
      <c r="A914">
        <v>2013</v>
      </c>
      <c r="B914" t="s">
        <v>525</v>
      </c>
      <c r="C914">
        <v>300</v>
      </c>
      <c r="D914">
        <v>7342</v>
      </c>
      <c r="E914">
        <v>52</v>
      </c>
      <c r="F914">
        <v>83</v>
      </c>
      <c r="G914">
        <v>2.61</v>
      </c>
    </row>
    <row r="915" spans="1:7" x14ac:dyDescent="0.25">
      <c r="A915">
        <v>2014</v>
      </c>
      <c r="B915" t="s">
        <v>414</v>
      </c>
      <c r="C915">
        <v>105</v>
      </c>
      <c r="D915">
        <v>1468</v>
      </c>
      <c r="E915">
        <v>44</v>
      </c>
      <c r="F915">
        <v>70</v>
      </c>
      <c r="G915">
        <v>2.69</v>
      </c>
    </row>
    <row r="916" spans="1:7" x14ac:dyDescent="0.25">
      <c r="A916">
        <v>2014</v>
      </c>
      <c r="B916" t="s">
        <v>526</v>
      </c>
      <c r="C916">
        <v>40</v>
      </c>
      <c r="D916">
        <v>588</v>
      </c>
      <c r="E916">
        <v>43</v>
      </c>
      <c r="F916">
        <v>59</v>
      </c>
      <c r="G916">
        <v>2.75</v>
      </c>
    </row>
    <row r="917" spans="1:7" x14ac:dyDescent="0.25">
      <c r="A917">
        <v>2014</v>
      </c>
      <c r="B917" t="s">
        <v>415</v>
      </c>
      <c r="C917">
        <v>150</v>
      </c>
      <c r="D917">
        <v>4714</v>
      </c>
      <c r="E917">
        <v>57</v>
      </c>
      <c r="F917">
        <v>79</v>
      </c>
      <c r="G917">
        <v>2.69</v>
      </c>
    </row>
    <row r="918" spans="1:7" x14ac:dyDescent="0.25">
      <c r="A918">
        <v>2014</v>
      </c>
      <c r="B918" t="s">
        <v>416</v>
      </c>
      <c r="C918">
        <v>45</v>
      </c>
      <c r="D918">
        <v>1373</v>
      </c>
      <c r="E918">
        <v>54</v>
      </c>
      <c r="F918">
        <v>78</v>
      </c>
      <c r="G918">
        <v>2.6</v>
      </c>
    </row>
    <row r="919" spans="1:7" x14ac:dyDescent="0.25">
      <c r="A919">
        <v>2014</v>
      </c>
      <c r="B919" t="s">
        <v>417</v>
      </c>
      <c r="C919">
        <v>15</v>
      </c>
      <c r="D919">
        <v>623</v>
      </c>
      <c r="E919">
        <v>53</v>
      </c>
      <c r="F919">
        <v>69</v>
      </c>
      <c r="G919">
        <v>3.4</v>
      </c>
    </row>
    <row r="920" spans="1:7" x14ac:dyDescent="0.25">
      <c r="A920">
        <v>2014</v>
      </c>
      <c r="B920" t="s">
        <v>418</v>
      </c>
      <c r="C920">
        <v>10</v>
      </c>
      <c r="D920">
        <v>222</v>
      </c>
      <c r="E920">
        <v>46</v>
      </c>
      <c r="F920">
        <v>64</v>
      </c>
      <c r="G920">
        <v>3.3</v>
      </c>
    </row>
    <row r="921" spans="1:7" x14ac:dyDescent="0.25">
      <c r="A921">
        <v>2014</v>
      </c>
      <c r="B921" t="s">
        <v>419</v>
      </c>
      <c r="C921">
        <v>30</v>
      </c>
      <c r="D921">
        <v>127</v>
      </c>
      <c r="E921">
        <v>43</v>
      </c>
      <c r="F921">
        <v>68</v>
      </c>
      <c r="G921">
        <v>2.67</v>
      </c>
    </row>
    <row r="922" spans="1:7" x14ac:dyDescent="0.25">
      <c r="A922">
        <v>2014</v>
      </c>
      <c r="B922" t="s">
        <v>420</v>
      </c>
      <c r="C922">
        <v>35</v>
      </c>
      <c r="D922">
        <v>252</v>
      </c>
      <c r="E922">
        <v>39</v>
      </c>
      <c r="F922">
        <v>63</v>
      </c>
      <c r="G922">
        <v>2.69</v>
      </c>
    </row>
    <row r="923" spans="1:7" x14ac:dyDescent="0.25">
      <c r="A923">
        <v>2014</v>
      </c>
      <c r="B923" t="s">
        <v>421</v>
      </c>
      <c r="C923">
        <v>45</v>
      </c>
      <c r="D923">
        <v>436</v>
      </c>
      <c r="E923">
        <v>40</v>
      </c>
      <c r="F923">
        <v>70</v>
      </c>
      <c r="G923">
        <v>2.38</v>
      </c>
    </row>
    <row r="924" spans="1:7" x14ac:dyDescent="0.25">
      <c r="A924">
        <v>2014</v>
      </c>
      <c r="B924" t="s">
        <v>422</v>
      </c>
      <c r="C924">
        <v>40</v>
      </c>
      <c r="D924">
        <v>82</v>
      </c>
      <c r="E924">
        <v>27</v>
      </c>
      <c r="F924">
        <v>60</v>
      </c>
      <c r="G924">
        <v>1.48</v>
      </c>
    </row>
    <row r="925" spans="1:7" x14ac:dyDescent="0.25">
      <c r="A925">
        <v>2014</v>
      </c>
      <c r="B925" t="s">
        <v>423</v>
      </c>
      <c r="C925">
        <v>210</v>
      </c>
      <c r="D925">
        <v>1593</v>
      </c>
      <c r="E925">
        <v>44</v>
      </c>
      <c r="F925">
        <v>79</v>
      </c>
      <c r="G925">
        <v>3</v>
      </c>
    </row>
    <row r="926" spans="1:7" x14ac:dyDescent="0.25">
      <c r="A926">
        <v>2014</v>
      </c>
      <c r="B926" t="s">
        <v>424</v>
      </c>
      <c r="C926">
        <v>35</v>
      </c>
      <c r="D926">
        <v>1443</v>
      </c>
      <c r="E926">
        <v>59</v>
      </c>
      <c r="F926">
        <v>81</v>
      </c>
      <c r="G926">
        <v>3.14</v>
      </c>
    </row>
    <row r="927" spans="1:7" x14ac:dyDescent="0.25">
      <c r="A927">
        <v>2014</v>
      </c>
      <c r="B927" t="s">
        <v>425</v>
      </c>
      <c r="C927">
        <v>40</v>
      </c>
      <c r="D927">
        <v>1393</v>
      </c>
      <c r="E927">
        <v>52</v>
      </c>
      <c r="F927">
        <v>70</v>
      </c>
      <c r="G927">
        <v>3.05</v>
      </c>
    </row>
    <row r="928" spans="1:7" x14ac:dyDescent="0.25">
      <c r="A928">
        <v>2014</v>
      </c>
      <c r="B928" t="s">
        <v>426</v>
      </c>
      <c r="C928">
        <v>560</v>
      </c>
      <c r="D928">
        <v>12272</v>
      </c>
      <c r="E928">
        <v>57</v>
      </c>
      <c r="F928">
        <v>82</v>
      </c>
      <c r="G928">
        <v>2.77</v>
      </c>
    </row>
    <row r="929" spans="1:7" x14ac:dyDescent="0.25">
      <c r="A929">
        <v>2014</v>
      </c>
      <c r="B929" t="s">
        <v>427</v>
      </c>
      <c r="C929">
        <v>590</v>
      </c>
      <c r="D929">
        <v>6722</v>
      </c>
      <c r="E929">
        <v>50</v>
      </c>
      <c r="F929">
        <v>80</v>
      </c>
      <c r="G929">
        <v>2.71</v>
      </c>
    </row>
    <row r="930" spans="1:7" x14ac:dyDescent="0.25">
      <c r="A930">
        <v>2014</v>
      </c>
      <c r="B930" t="s">
        <v>428</v>
      </c>
      <c r="C930">
        <v>70</v>
      </c>
      <c r="D930">
        <v>456</v>
      </c>
      <c r="E930">
        <v>41</v>
      </c>
      <c r="F930">
        <v>65</v>
      </c>
      <c r="G930">
        <v>2.8</v>
      </c>
    </row>
    <row r="931" spans="1:7" x14ac:dyDescent="0.25">
      <c r="A931">
        <v>2014</v>
      </c>
      <c r="B931" t="s">
        <v>429</v>
      </c>
      <c r="C931">
        <v>40</v>
      </c>
      <c r="D931">
        <v>314</v>
      </c>
      <c r="E931">
        <v>45</v>
      </c>
      <c r="F931">
        <v>67</v>
      </c>
      <c r="G931">
        <v>2.88</v>
      </c>
    </row>
    <row r="932" spans="1:7" x14ac:dyDescent="0.25">
      <c r="A932">
        <v>2014</v>
      </c>
      <c r="B932" t="s">
        <v>430</v>
      </c>
      <c r="C932">
        <v>45</v>
      </c>
      <c r="D932">
        <v>475</v>
      </c>
      <c r="E932">
        <v>49</v>
      </c>
      <c r="F932">
        <v>70</v>
      </c>
      <c r="G932">
        <v>3.09</v>
      </c>
    </row>
    <row r="933" spans="1:7" x14ac:dyDescent="0.25">
      <c r="A933">
        <v>2014</v>
      </c>
      <c r="B933" t="s">
        <v>431</v>
      </c>
      <c r="C933">
        <v>15</v>
      </c>
      <c r="D933">
        <v>293</v>
      </c>
      <c r="E933">
        <v>49</v>
      </c>
      <c r="F933">
        <v>65</v>
      </c>
      <c r="G933">
        <v>3.27</v>
      </c>
    </row>
    <row r="934" spans="1:7" x14ac:dyDescent="0.25">
      <c r="A934">
        <v>2014</v>
      </c>
      <c r="B934" t="s">
        <v>432</v>
      </c>
      <c r="C934">
        <v>170</v>
      </c>
      <c r="D934">
        <v>1027</v>
      </c>
      <c r="E934">
        <v>40</v>
      </c>
      <c r="F934">
        <v>72</v>
      </c>
      <c r="G934">
        <v>2.68</v>
      </c>
    </row>
    <row r="935" spans="1:7" x14ac:dyDescent="0.25">
      <c r="A935">
        <v>2014</v>
      </c>
      <c r="B935" t="s">
        <v>433</v>
      </c>
      <c r="C935">
        <v>170</v>
      </c>
      <c r="D935">
        <v>846</v>
      </c>
      <c r="E935">
        <v>37</v>
      </c>
      <c r="F935">
        <v>64</v>
      </c>
      <c r="G935">
        <v>2.69</v>
      </c>
    </row>
    <row r="936" spans="1:7" x14ac:dyDescent="0.25">
      <c r="A936">
        <v>2014</v>
      </c>
      <c r="B936" t="s">
        <v>434</v>
      </c>
      <c r="C936">
        <v>120</v>
      </c>
      <c r="D936">
        <v>494</v>
      </c>
      <c r="E936">
        <v>30</v>
      </c>
      <c r="F936">
        <v>70</v>
      </c>
      <c r="G936">
        <v>2.2799999999999998</v>
      </c>
    </row>
    <row r="937" spans="1:7" x14ac:dyDescent="0.25">
      <c r="A937">
        <v>2014</v>
      </c>
      <c r="B937" t="s">
        <v>435</v>
      </c>
      <c r="C937">
        <v>40</v>
      </c>
      <c r="D937">
        <v>153</v>
      </c>
      <c r="E937">
        <v>32</v>
      </c>
      <c r="F937">
        <v>63</v>
      </c>
      <c r="G937">
        <v>2.35</v>
      </c>
    </row>
    <row r="938" spans="1:7" x14ac:dyDescent="0.25">
      <c r="A938">
        <v>2014</v>
      </c>
      <c r="B938" t="s">
        <v>436</v>
      </c>
      <c r="C938">
        <v>120</v>
      </c>
      <c r="D938">
        <v>661</v>
      </c>
      <c r="E938">
        <v>36</v>
      </c>
      <c r="F938">
        <v>61</v>
      </c>
      <c r="G938">
        <v>2.68</v>
      </c>
    </row>
    <row r="939" spans="1:7" x14ac:dyDescent="0.25">
      <c r="A939">
        <v>2014</v>
      </c>
      <c r="B939" t="s">
        <v>437</v>
      </c>
      <c r="C939">
        <v>270</v>
      </c>
      <c r="D939">
        <v>2031</v>
      </c>
      <c r="E939">
        <v>43</v>
      </c>
      <c r="F939">
        <v>71</v>
      </c>
      <c r="G939">
        <v>2.85</v>
      </c>
    </row>
    <row r="940" spans="1:7" x14ac:dyDescent="0.25">
      <c r="A940">
        <v>2014</v>
      </c>
      <c r="B940" t="s">
        <v>438</v>
      </c>
      <c r="C940">
        <v>60</v>
      </c>
      <c r="D940">
        <v>2706</v>
      </c>
      <c r="E940">
        <v>55</v>
      </c>
      <c r="F940">
        <v>74</v>
      </c>
      <c r="G940">
        <v>3.05</v>
      </c>
    </row>
    <row r="941" spans="1:7" x14ac:dyDescent="0.25">
      <c r="A941">
        <v>2014</v>
      </c>
      <c r="B941" t="s">
        <v>439</v>
      </c>
      <c r="C941">
        <v>120</v>
      </c>
      <c r="D941">
        <v>488</v>
      </c>
      <c r="E941">
        <v>28</v>
      </c>
      <c r="F941">
        <v>58</v>
      </c>
      <c r="G941">
        <v>2.37</v>
      </c>
    </row>
    <row r="942" spans="1:7" x14ac:dyDescent="0.25">
      <c r="A942">
        <v>2014</v>
      </c>
      <c r="B942" t="s">
        <v>440</v>
      </c>
      <c r="C942">
        <v>30</v>
      </c>
      <c r="D942">
        <v>109</v>
      </c>
      <c r="E942">
        <v>32</v>
      </c>
      <c r="F942">
        <v>63</v>
      </c>
      <c r="G942">
        <v>2.33</v>
      </c>
    </row>
    <row r="943" spans="1:7" x14ac:dyDescent="0.25">
      <c r="A943">
        <v>2014</v>
      </c>
      <c r="B943" t="s">
        <v>441</v>
      </c>
      <c r="C943">
        <v>849</v>
      </c>
      <c r="D943">
        <v>3776</v>
      </c>
      <c r="E943">
        <v>34</v>
      </c>
      <c r="F943">
        <v>78</v>
      </c>
      <c r="G943">
        <v>2.5499999999999998</v>
      </c>
    </row>
    <row r="944" spans="1:7" x14ac:dyDescent="0.25">
      <c r="A944">
        <v>2014</v>
      </c>
      <c r="B944" t="s">
        <v>442</v>
      </c>
      <c r="C944">
        <v>120</v>
      </c>
      <c r="D944">
        <v>1142</v>
      </c>
      <c r="E944">
        <v>41</v>
      </c>
      <c r="F944">
        <v>70</v>
      </c>
      <c r="G944">
        <v>2.4300000000000002</v>
      </c>
    </row>
    <row r="945" spans="1:7" x14ac:dyDescent="0.25">
      <c r="A945">
        <v>2014</v>
      </c>
      <c r="B945" t="s">
        <v>443</v>
      </c>
      <c r="C945">
        <v>35</v>
      </c>
      <c r="D945">
        <v>129</v>
      </c>
      <c r="E945">
        <v>32</v>
      </c>
      <c r="F945">
        <v>61</v>
      </c>
      <c r="G945">
        <v>2.54</v>
      </c>
    </row>
    <row r="946" spans="1:7" x14ac:dyDescent="0.25">
      <c r="A946">
        <v>2014</v>
      </c>
      <c r="B946" t="s">
        <v>444</v>
      </c>
      <c r="C946">
        <v>30</v>
      </c>
      <c r="D946">
        <v>171</v>
      </c>
      <c r="E946">
        <v>31</v>
      </c>
      <c r="F946">
        <v>67</v>
      </c>
      <c r="G946">
        <v>2.5299999999999998</v>
      </c>
    </row>
    <row r="947" spans="1:7" x14ac:dyDescent="0.25">
      <c r="A947">
        <v>2014</v>
      </c>
      <c r="B947" t="s">
        <v>445</v>
      </c>
      <c r="C947">
        <v>180</v>
      </c>
      <c r="D947">
        <v>1032</v>
      </c>
      <c r="E947">
        <v>33</v>
      </c>
      <c r="F947">
        <v>65</v>
      </c>
      <c r="G947">
        <v>2.42</v>
      </c>
    </row>
    <row r="948" spans="1:7" x14ac:dyDescent="0.25">
      <c r="A948">
        <v>2014</v>
      </c>
      <c r="B948" t="s">
        <v>446</v>
      </c>
      <c r="C948">
        <v>50</v>
      </c>
      <c r="D948">
        <v>393</v>
      </c>
      <c r="E948">
        <v>37</v>
      </c>
      <c r="F948">
        <v>61</v>
      </c>
      <c r="G948">
        <v>2.2000000000000002</v>
      </c>
    </row>
    <row r="949" spans="1:7" x14ac:dyDescent="0.25">
      <c r="A949">
        <v>2014</v>
      </c>
      <c r="B949" t="s">
        <v>447</v>
      </c>
      <c r="C949">
        <v>50</v>
      </c>
      <c r="D949">
        <v>2499</v>
      </c>
      <c r="E949">
        <v>53</v>
      </c>
      <c r="F949">
        <v>75</v>
      </c>
      <c r="G949">
        <v>2.62</v>
      </c>
    </row>
    <row r="950" spans="1:7" x14ac:dyDescent="0.25">
      <c r="A950">
        <v>2014</v>
      </c>
      <c r="B950" t="s">
        <v>448</v>
      </c>
      <c r="C950">
        <v>60</v>
      </c>
      <c r="D950">
        <v>2294</v>
      </c>
      <c r="E950">
        <v>58</v>
      </c>
      <c r="F950">
        <v>82</v>
      </c>
      <c r="G950">
        <v>3.15</v>
      </c>
    </row>
    <row r="951" spans="1:7" x14ac:dyDescent="0.25">
      <c r="A951">
        <v>2014</v>
      </c>
      <c r="B951" t="s">
        <v>449</v>
      </c>
      <c r="C951">
        <v>50</v>
      </c>
      <c r="D951">
        <v>1020</v>
      </c>
      <c r="E951">
        <v>47</v>
      </c>
      <c r="F951">
        <v>69</v>
      </c>
      <c r="G951">
        <v>2.68</v>
      </c>
    </row>
    <row r="952" spans="1:7" x14ac:dyDescent="0.25">
      <c r="A952">
        <v>2014</v>
      </c>
      <c r="B952" t="s">
        <v>450</v>
      </c>
      <c r="C952">
        <v>60</v>
      </c>
      <c r="D952">
        <v>751</v>
      </c>
      <c r="E952">
        <v>40</v>
      </c>
      <c r="F952">
        <v>63</v>
      </c>
      <c r="G952">
        <v>2.82</v>
      </c>
    </row>
    <row r="953" spans="1:7" x14ac:dyDescent="0.25">
      <c r="A953">
        <v>2014</v>
      </c>
      <c r="B953" t="s">
        <v>451</v>
      </c>
      <c r="C953">
        <v>30</v>
      </c>
      <c r="D953">
        <v>372</v>
      </c>
      <c r="E953">
        <v>36</v>
      </c>
      <c r="F953">
        <v>64</v>
      </c>
      <c r="G953">
        <v>2.4700000000000002</v>
      </c>
    </row>
    <row r="954" spans="1:7" x14ac:dyDescent="0.25">
      <c r="A954">
        <v>2014</v>
      </c>
      <c r="B954" t="s">
        <v>529</v>
      </c>
      <c r="C954">
        <v>300</v>
      </c>
      <c r="D954">
        <v>9531</v>
      </c>
      <c r="E954">
        <v>48</v>
      </c>
      <c r="F954">
        <v>70</v>
      </c>
      <c r="G954">
        <v>2.4</v>
      </c>
    </row>
    <row r="955" spans="1:7" x14ac:dyDescent="0.25">
      <c r="A955">
        <v>2014</v>
      </c>
      <c r="B955" t="s">
        <v>453</v>
      </c>
      <c r="C955">
        <v>120</v>
      </c>
      <c r="D955">
        <v>1844</v>
      </c>
      <c r="E955">
        <v>50</v>
      </c>
      <c r="F955">
        <v>80</v>
      </c>
      <c r="G955">
        <v>2.88</v>
      </c>
    </row>
    <row r="956" spans="1:7" x14ac:dyDescent="0.25">
      <c r="A956">
        <v>2014</v>
      </c>
      <c r="B956" t="s">
        <v>454</v>
      </c>
      <c r="C956">
        <v>30</v>
      </c>
      <c r="D956">
        <v>289</v>
      </c>
      <c r="E956">
        <v>42</v>
      </c>
      <c r="F956">
        <v>63</v>
      </c>
      <c r="G956">
        <v>2.83</v>
      </c>
    </row>
    <row r="957" spans="1:7" x14ac:dyDescent="0.25">
      <c r="A957">
        <v>2014</v>
      </c>
      <c r="B957" t="s">
        <v>455</v>
      </c>
      <c r="C957">
        <v>60</v>
      </c>
      <c r="D957">
        <v>634</v>
      </c>
      <c r="E957">
        <v>44</v>
      </c>
      <c r="F957">
        <v>76</v>
      </c>
      <c r="G957">
        <v>2.93</v>
      </c>
    </row>
    <row r="958" spans="1:7" x14ac:dyDescent="0.25">
      <c r="A958">
        <v>2014</v>
      </c>
      <c r="B958" t="s">
        <v>456</v>
      </c>
      <c r="C958">
        <v>40</v>
      </c>
      <c r="D958">
        <v>1043</v>
      </c>
      <c r="E958">
        <v>54</v>
      </c>
      <c r="F958">
        <v>76</v>
      </c>
      <c r="G958">
        <v>3.28</v>
      </c>
    </row>
    <row r="959" spans="1:7" x14ac:dyDescent="0.25">
      <c r="A959">
        <v>2014</v>
      </c>
      <c r="B959" t="s">
        <v>530</v>
      </c>
      <c r="C959">
        <v>25</v>
      </c>
      <c r="D959">
        <v>439</v>
      </c>
      <c r="E959">
        <v>53</v>
      </c>
      <c r="F959">
        <v>75</v>
      </c>
      <c r="G959">
        <v>2.56</v>
      </c>
    </row>
    <row r="960" spans="1:7" x14ac:dyDescent="0.25">
      <c r="A960">
        <v>2014</v>
      </c>
      <c r="B960" t="s">
        <v>458</v>
      </c>
      <c r="C960">
        <v>40</v>
      </c>
      <c r="D960">
        <v>228</v>
      </c>
      <c r="E960">
        <v>34</v>
      </c>
      <c r="F960">
        <v>65</v>
      </c>
      <c r="G960">
        <v>2.5299999999999998</v>
      </c>
    </row>
    <row r="961" spans="1:7" x14ac:dyDescent="0.25">
      <c r="A961">
        <v>2014</v>
      </c>
      <c r="B961" t="s">
        <v>459</v>
      </c>
      <c r="C961">
        <v>100</v>
      </c>
      <c r="D961">
        <v>912</v>
      </c>
      <c r="E961">
        <v>36</v>
      </c>
      <c r="F961">
        <v>68</v>
      </c>
      <c r="G961">
        <v>2.59</v>
      </c>
    </row>
    <row r="962" spans="1:7" x14ac:dyDescent="0.25">
      <c r="A962">
        <v>2014</v>
      </c>
      <c r="B962" t="s">
        <v>531</v>
      </c>
      <c r="C962">
        <v>60</v>
      </c>
      <c r="D962">
        <v>448</v>
      </c>
      <c r="E962">
        <v>33</v>
      </c>
      <c r="F962">
        <v>57</v>
      </c>
      <c r="G962">
        <v>2.2799999999999998</v>
      </c>
    </row>
    <row r="963" spans="1:7" x14ac:dyDescent="0.25">
      <c r="A963">
        <v>2014</v>
      </c>
      <c r="B963" t="s">
        <v>532</v>
      </c>
      <c r="C963">
        <v>60</v>
      </c>
      <c r="D963">
        <v>258</v>
      </c>
      <c r="E963">
        <v>27</v>
      </c>
      <c r="F963">
        <v>55</v>
      </c>
      <c r="G963">
        <v>1.92</v>
      </c>
    </row>
    <row r="964" spans="1:7" x14ac:dyDescent="0.25">
      <c r="A964">
        <v>2014</v>
      </c>
      <c r="B964" t="s">
        <v>461</v>
      </c>
      <c r="C964">
        <v>80</v>
      </c>
      <c r="D964">
        <v>880</v>
      </c>
      <c r="E964">
        <v>39</v>
      </c>
      <c r="F964">
        <v>68</v>
      </c>
      <c r="G964">
        <v>2.4</v>
      </c>
    </row>
    <row r="965" spans="1:7" x14ac:dyDescent="0.25">
      <c r="A965">
        <v>2014</v>
      </c>
      <c r="B965" t="s">
        <v>462</v>
      </c>
      <c r="C965">
        <v>130</v>
      </c>
      <c r="D965">
        <v>505</v>
      </c>
      <c r="E965">
        <v>30</v>
      </c>
      <c r="F965">
        <v>66</v>
      </c>
      <c r="G965">
        <v>2.25</v>
      </c>
    </row>
    <row r="966" spans="1:7" x14ac:dyDescent="0.25">
      <c r="A966">
        <v>2014</v>
      </c>
      <c r="B966" t="s">
        <v>463</v>
      </c>
      <c r="C966">
        <v>200</v>
      </c>
      <c r="D966">
        <v>1444</v>
      </c>
      <c r="E966">
        <v>40</v>
      </c>
      <c r="F966">
        <v>74</v>
      </c>
      <c r="G966">
        <v>2.54</v>
      </c>
    </row>
    <row r="967" spans="1:7" x14ac:dyDescent="0.25">
      <c r="A967">
        <v>2014</v>
      </c>
      <c r="B967" t="s">
        <v>464</v>
      </c>
      <c r="C967">
        <v>40</v>
      </c>
      <c r="D967">
        <v>299</v>
      </c>
      <c r="E967">
        <v>40</v>
      </c>
      <c r="F967">
        <v>60</v>
      </c>
      <c r="G967">
        <v>2.5499999999999998</v>
      </c>
    </row>
    <row r="968" spans="1:7" x14ac:dyDescent="0.25">
      <c r="A968">
        <v>2014</v>
      </c>
      <c r="B968" t="s">
        <v>465</v>
      </c>
      <c r="C968">
        <v>150</v>
      </c>
      <c r="D968">
        <v>1325</v>
      </c>
      <c r="E968">
        <v>45</v>
      </c>
      <c r="F968">
        <v>75</v>
      </c>
      <c r="G968">
        <v>2.94</v>
      </c>
    </row>
    <row r="969" spans="1:7" x14ac:dyDescent="0.25">
      <c r="A969">
        <v>2014</v>
      </c>
      <c r="B969" t="s">
        <v>466</v>
      </c>
      <c r="C969">
        <v>80</v>
      </c>
      <c r="D969">
        <v>505</v>
      </c>
      <c r="E969">
        <v>40</v>
      </c>
      <c r="F969">
        <v>76</v>
      </c>
      <c r="G969">
        <v>2.59</v>
      </c>
    </row>
    <row r="970" spans="1:7" x14ac:dyDescent="0.25">
      <c r="A970">
        <v>2014</v>
      </c>
      <c r="B970" t="s">
        <v>467</v>
      </c>
      <c r="C970">
        <v>25</v>
      </c>
      <c r="D970">
        <v>819</v>
      </c>
      <c r="E970">
        <v>46</v>
      </c>
      <c r="F970">
        <v>64</v>
      </c>
      <c r="G970">
        <v>2.36</v>
      </c>
    </row>
    <row r="971" spans="1:7" x14ac:dyDescent="0.25">
      <c r="A971">
        <v>2014</v>
      </c>
      <c r="B971" t="s">
        <v>468</v>
      </c>
      <c r="C971">
        <v>40</v>
      </c>
      <c r="D971">
        <v>556</v>
      </c>
      <c r="E971">
        <v>40</v>
      </c>
      <c r="F971">
        <v>64</v>
      </c>
      <c r="G971">
        <v>2.65</v>
      </c>
    </row>
    <row r="972" spans="1:7" x14ac:dyDescent="0.25">
      <c r="A972">
        <v>2014</v>
      </c>
      <c r="B972" t="s">
        <v>469</v>
      </c>
      <c r="C972">
        <v>25</v>
      </c>
      <c r="D972">
        <v>222</v>
      </c>
      <c r="E972">
        <v>38</v>
      </c>
      <c r="F972">
        <v>72</v>
      </c>
      <c r="G972">
        <v>2.68</v>
      </c>
    </row>
    <row r="973" spans="1:7" x14ac:dyDescent="0.25">
      <c r="A973">
        <v>2014</v>
      </c>
      <c r="B973" t="s">
        <v>470</v>
      </c>
      <c r="C973">
        <v>40</v>
      </c>
      <c r="D973">
        <v>148</v>
      </c>
      <c r="E973">
        <v>28</v>
      </c>
      <c r="F973">
        <v>55</v>
      </c>
      <c r="G973">
        <v>2.25</v>
      </c>
    </row>
    <row r="974" spans="1:7" x14ac:dyDescent="0.25">
      <c r="A974">
        <v>2014</v>
      </c>
      <c r="B974" t="s">
        <v>471</v>
      </c>
      <c r="C974">
        <v>30</v>
      </c>
      <c r="D974">
        <v>220</v>
      </c>
      <c r="E974">
        <v>34</v>
      </c>
      <c r="F974">
        <v>64</v>
      </c>
      <c r="G974">
        <v>2.97</v>
      </c>
    </row>
    <row r="975" spans="1:7" x14ac:dyDescent="0.25">
      <c r="A975">
        <v>2014</v>
      </c>
      <c r="B975" t="s">
        <v>472</v>
      </c>
      <c r="C975">
        <v>60</v>
      </c>
      <c r="D975">
        <v>365</v>
      </c>
      <c r="E975">
        <v>35</v>
      </c>
      <c r="F975">
        <v>58</v>
      </c>
      <c r="G975">
        <v>2.4</v>
      </c>
    </row>
    <row r="976" spans="1:7" x14ac:dyDescent="0.25">
      <c r="A976">
        <v>2014</v>
      </c>
      <c r="B976" t="s">
        <v>473</v>
      </c>
      <c r="C976">
        <v>275</v>
      </c>
      <c r="D976">
        <v>16108</v>
      </c>
      <c r="E976">
        <v>70</v>
      </c>
      <c r="F976">
        <v>84</v>
      </c>
      <c r="G976">
        <v>3.82</v>
      </c>
    </row>
    <row r="977" spans="1:7" x14ac:dyDescent="0.25">
      <c r="A977">
        <v>2014</v>
      </c>
      <c r="B977" t="s">
        <v>533</v>
      </c>
      <c r="C977">
        <v>100</v>
      </c>
      <c r="D977">
        <v>6291</v>
      </c>
      <c r="E977">
        <v>70</v>
      </c>
      <c r="F977">
        <v>86</v>
      </c>
      <c r="G977">
        <v>3.61</v>
      </c>
    </row>
    <row r="978" spans="1:7" x14ac:dyDescent="0.25">
      <c r="A978">
        <v>2014</v>
      </c>
      <c r="B978" t="s">
        <v>475</v>
      </c>
      <c r="C978">
        <v>80</v>
      </c>
      <c r="D978">
        <v>2346</v>
      </c>
      <c r="E978">
        <v>50</v>
      </c>
      <c r="F978">
        <v>76</v>
      </c>
      <c r="G978">
        <v>2.7</v>
      </c>
    </row>
    <row r="979" spans="1:7" x14ac:dyDescent="0.25">
      <c r="A979">
        <v>2014</v>
      </c>
      <c r="B979" t="s">
        <v>476</v>
      </c>
      <c r="C979">
        <v>60</v>
      </c>
      <c r="D979">
        <v>946</v>
      </c>
      <c r="E979">
        <v>45</v>
      </c>
      <c r="F979">
        <v>64</v>
      </c>
      <c r="G979">
        <v>2.95</v>
      </c>
    </row>
    <row r="980" spans="1:7" x14ac:dyDescent="0.25">
      <c r="A980">
        <v>2014</v>
      </c>
      <c r="B980" t="s">
        <v>477</v>
      </c>
      <c r="C980">
        <v>80</v>
      </c>
      <c r="D980">
        <v>1294</v>
      </c>
      <c r="E980">
        <v>41</v>
      </c>
      <c r="F980">
        <v>62</v>
      </c>
      <c r="G980">
        <v>2.88</v>
      </c>
    </row>
    <row r="981" spans="1:7" x14ac:dyDescent="0.25">
      <c r="A981">
        <v>2014</v>
      </c>
      <c r="B981" t="s">
        <v>478</v>
      </c>
      <c r="C981">
        <v>30</v>
      </c>
      <c r="D981">
        <v>421</v>
      </c>
      <c r="E981">
        <v>43</v>
      </c>
      <c r="F981">
        <v>67</v>
      </c>
      <c r="G981">
        <v>2.63</v>
      </c>
    </row>
    <row r="982" spans="1:7" x14ac:dyDescent="0.25">
      <c r="A982">
        <v>2014</v>
      </c>
      <c r="B982" t="s">
        <v>479</v>
      </c>
      <c r="C982">
        <v>60</v>
      </c>
      <c r="D982">
        <v>258</v>
      </c>
      <c r="E982">
        <v>31</v>
      </c>
      <c r="F982">
        <v>61</v>
      </c>
      <c r="G982">
        <v>2.27</v>
      </c>
    </row>
    <row r="983" spans="1:7" x14ac:dyDescent="0.25">
      <c r="A983">
        <v>2014</v>
      </c>
      <c r="B983" t="s">
        <v>480</v>
      </c>
      <c r="C983">
        <v>133</v>
      </c>
      <c r="D983">
        <v>1592</v>
      </c>
      <c r="E983">
        <v>44</v>
      </c>
      <c r="F983">
        <v>66</v>
      </c>
      <c r="G983">
        <v>2.5099999999999998</v>
      </c>
    </row>
    <row r="984" spans="1:7" x14ac:dyDescent="0.25">
      <c r="A984">
        <v>2014</v>
      </c>
      <c r="B984" t="s">
        <v>481</v>
      </c>
      <c r="C984">
        <v>50</v>
      </c>
      <c r="D984">
        <v>433</v>
      </c>
      <c r="E984">
        <v>42</v>
      </c>
      <c r="F984">
        <v>68</v>
      </c>
      <c r="G984">
        <v>2.44</v>
      </c>
    </row>
    <row r="985" spans="1:7" x14ac:dyDescent="0.25">
      <c r="A985">
        <v>2014</v>
      </c>
      <c r="B985" t="s">
        <v>482</v>
      </c>
      <c r="C985">
        <v>80</v>
      </c>
      <c r="D985">
        <v>898</v>
      </c>
      <c r="E985">
        <v>43</v>
      </c>
      <c r="F985">
        <v>74</v>
      </c>
      <c r="G985">
        <v>2.58</v>
      </c>
    </row>
    <row r="986" spans="1:7" x14ac:dyDescent="0.25">
      <c r="A986">
        <v>2014</v>
      </c>
      <c r="B986" t="s">
        <v>483</v>
      </c>
      <c r="C986">
        <v>70</v>
      </c>
      <c r="D986">
        <v>3400</v>
      </c>
      <c r="E986">
        <v>57</v>
      </c>
      <c r="F986">
        <v>78</v>
      </c>
      <c r="G986">
        <v>2.89</v>
      </c>
    </row>
    <row r="987" spans="1:7" x14ac:dyDescent="0.25">
      <c r="A987">
        <v>2014</v>
      </c>
      <c r="B987" t="s">
        <v>484</v>
      </c>
      <c r="C987">
        <v>40</v>
      </c>
      <c r="D987">
        <v>1123</v>
      </c>
      <c r="E987">
        <v>50</v>
      </c>
      <c r="F987">
        <v>78</v>
      </c>
      <c r="G987">
        <v>2.93</v>
      </c>
    </row>
    <row r="988" spans="1:7" x14ac:dyDescent="0.25">
      <c r="A988">
        <v>2014</v>
      </c>
      <c r="B988" t="s">
        <v>485</v>
      </c>
      <c r="C988">
        <v>40</v>
      </c>
      <c r="D988">
        <v>98</v>
      </c>
      <c r="E988">
        <v>27</v>
      </c>
      <c r="F988">
        <v>53</v>
      </c>
      <c r="G988">
        <v>1.9</v>
      </c>
    </row>
    <row r="989" spans="1:7" x14ac:dyDescent="0.25">
      <c r="A989">
        <v>2014</v>
      </c>
      <c r="B989" t="s">
        <v>486</v>
      </c>
      <c r="C989">
        <v>25</v>
      </c>
      <c r="D989">
        <v>166</v>
      </c>
      <c r="E989">
        <v>36</v>
      </c>
      <c r="F989">
        <v>57</v>
      </c>
      <c r="G989">
        <v>2.48</v>
      </c>
    </row>
    <row r="990" spans="1:7" x14ac:dyDescent="0.25">
      <c r="A990">
        <v>2014</v>
      </c>
      <c r="B990" t="s">
        <v>487</v>
      </c>
      <c r="C990">
        <v>20</v>
      </c>
      <c r="D990">
        <v>151</v>
      </c>
      <c r="E990">
        <v>34</v>
      </c>
      <c r="F990">
        <v>60</v>
      </c>
      <c r="G990">
        <v>2.6</v>
      </c>
    </row>
    <row r="991" spans="1:7" x14ac:dyDescent="0.25">
      <c r="A991">
        <v>2014</v>
      </c>
      <c r="B991" t="s">
        <v>488</v>
      </c>
      <c r="C991">
        <v>40</v>
      </c>
      <c r="D991">
        <v>323</v>
      </c>
      <c r="E991">
        <v>35</v>
      </c>
      <c r="F991">
        <v>56</v>
      </c>
      <c r="G991">
        <v>2.4</v>
      </c>
    </row>
    <row r="992" spans="1:7" x14ac:dyDescent="0.25">
      <c r="A992">
        <v>2014</v>
      </c>
      <c r="B992" t="s">
        <v>534</v>
      </c>
      <c r="C992">
        <v>300</v>
      </c>
      <c r="D992">
        <v>6693</v>
      </c>
      <c r="E992">
        <v>48</v>
      </c>
      <c r="F992">
        <v>73</v>
      </c>
      <c r="G992">
        <v>2.5099999999999998</v>
      </c>
    </row>
    <row r="993" spans="1:7" x14ac:dyDescent="0.25">
      <c r="A993">
        <v>2014</v>
      </c>
      <c r="B993" t="s">
        <v>490</v>
      </c>
      <c r="C993">
        <v>40</v>
      </c>
      <c r="D993">
        <v>167</v>
      </c>
      <c r="E993">
        <v>40</v>
      </c>
      <c r="F993">
        <v>70</v>
      </c>
      <c r="G993">
        <v>2.73</v>
      </c>
    </row>
    <row r="994" spans="1:7" x14ac:dyDescent="0.25">
      <c r="A994">
        <v>2014</v>
      </c>
      <c r="B994" t="s">
        <v>491</v>
      </c>
      <c r="C994">
        <v>120</v>
      </c>
      <c r="D994">
        <v>315</v>
      </c>
      <c r="E994">
        <v>27</v>
      </c>
      <c r="F994">
        <v>65</v>
      </c>
      <c r="G994">
        <v>1.66</v>
      </c>
    </row>
    <row r="995" spans="1:7" x14ac:dyDescent="0.25">
      <c r="A995">
        <v>2014</v>
      </c>
      <c r="B995" t="s">
        <v>492</v>
      </c>
      <c r="C995">
        <v>330</v>
      </c>
      <c r="D995">
        <v>3601</v>
      </c>
      <c r="E995">
        <v>45</v>
      </c>
      <c r="F995">
        <v>81</v>
      </c>
      <c r="G995">
        <v>2.63</v>
      </c>
    </row>
    <row r="996" spans="1:7" x14ac:dyDescent="0.25">
      <c r="A996">
        <v>2014</v>
      </c>
      <c r="B996" t="s">
        <v>493</v>
      </c>
      <c r="C996">
        <v>40</v>
      </c>
      <c r="D996">
        <v>1145</v>
      </c>
      <c r="E996">
        <v>66</v>
      </c>
      <c r="F996">
        <v>82</v>
      </c>
      <c r="G996">
        <v>3.13</v>
      </c>
    </row>
    <row r="997" spans="1:7" x14ac:dyDescent="0.25">
      <c r="A997">
        <v>2014</v>
      </c>
      <c r="B997" t="s">
        <v>494</v>
      </c>
      <c r="C997">
        <v>40</v>
      </c>
      <c r="D997">
        <v>260</v>
      </c>
      <c r="E997">
        <v>38</v>
      </c>
      <c r="F997">
        <v>64</v>
      </c>
      <c r="G997">
        <v>2.58</v>
      </c>
    </row>
    <row r="998" spans="1:7" x14ac:dyDescent="0.25">
      <c r="A998">
        <v>2014</v>
      </c>
      <c r="B998" t="s">
        <v>495</v>
      </c>
      <c r="C998">
        <v>40</v>
      </c>
      <c r="D998">
        <v>611</v>
      </c>
      <c r="E998">
        <v>48</v>
      </c>
      <c r="F998">
        <v>69</v>
      </c>
      <c r="G998">
        <v>2.68</v>
      </c>
    </row>
    <row r="999" spans="1:7" x14ac:dyDescent="0.25">
      <c r="A999">
        <v>2014</v>
      </c>
      <c r="B999" t="s">
        <v>496</v>
      </c>
      <c r="C999">
        <v>40</v>
      </c>
      <c r="D999">
        <v>370</v>
      </c>
      <c r="E999">
        <v>47</v>
      </c>
      <c r="F999">
        <v>66</v>
      </c>
      <c r="G999">
        <v>2.6</v>
      </c>
    </row>
    <row r="1000" spans="1:7" x14ac:dyDescent="0.25">
      <c r="A1000">
        <v>2014</v>
      </c>
      <c r="B1000" t="s">
        <v>497</v>
      </c>
      <c r="C1000">
        <v>60</v>
      </c>
      <c r="D1000">
        <v>3051</v>
      </c>
      <c r="E1000">
        <v>62</v>
      </c>
      <c r="F1000">
        <v>75</v>
      </c>
      <c r="G1000">
        <v>2.83</v>
      </c>
    </row>
    <row r="1001" spans="1:7" x14ac:dyDescent="0.25">
      <c r="A1001">
        <v>2014</v>
      </c>
      <c r="B1001" t="s">
        <v>498</v>
      </c>
      <c r="C1001">
        <v>100</v>
      </c>
      <c r="D1001">
        <v>593</v>
      </c>
      <c r="E1001">
        <v>40</v>
      </c>
      <c r="F1001">
        <v>68</v>
      </c>
      <c r="G1001">
        <v>2.7</v>
      </c>
    </row>
    <row r="1002" spans="1:7" x14ac:dyDescent="0.25">
      <c r="A1002">
        <v>2014</v>
      </c>
      <c r="B1002" t="s">
        <v>499</v>
      </c>
      <c r="C1002">
        <v>60</v>
      </c>
      <c r="D1002">
        <v>416</v>
      </c>
      <c r="E1002">
        <v>38</v>
      </c>
      <c r="F1002">
        <v>64</v>
      </c>
      <c r="G1002">
        <v>2.6</v>
      </c>
    </row>
    <row r="1003" spans="1:7" x14ac:dyDescent="0.25">
      <c r="A1003">
        <v>2014</v>
      </c>
      <c r="B1003" t="s">
        <v>500</v>
      </c>
      <c r="C1003">
        <v>40</v>
      </c>
      <c r="D1003">
        <v>286</v>
      </c>
      <c r="E1003">
        <v>44</v>
      </c>
      <c r="F1003">
        <v>63</v>
      </c>
      <c r="G1003">
        <v>2.9</v>
      </c>
    </row>
    <row r="1004" spans="1:7" x14ac:dyDescent="0.25">
      <c r="A1004">
        <v>2014</v>
      </c>
      <c r="B1004" t="s">
        <v>501</v>
      </c>
      <c r="C1004">
        <v>50</v>
      </c>
      <c r="D1004">
        <v>491</v>
      </c>
      <c r="E1004">
        <v>52</v>
      </c>
      <c r="F1004">
        <v>76</v>
      </c>
      <c r="G1004">
        <v>2.96</v>
      </c>
    </row>
    <row r="1005" spans="1:7" x14ac:dyDescent="0.25">
      <c r="A1005">
        <v>2014</v>
      </c>
      <c r="B1005" t="s">
        <v>502</v>
      </c>
      <c r="C1005">
        <v>40</v>
      </c>
      <c r="D1005">
        <v>979</v>
      </c>
      <c r="E1005">
        <v>51</v>
      </c>
      <c r="F1005">
        <v>68</v>
      </c>
      <c r="G1005">
        <v>2.85</v>
      </c>
    </row>
    <row r="1006" spans="1:7" x14ac:dyDescent="0.25">
      <c r="A1006">
        <v>2014</v>
      </c>
      <c r="B1006" t="s">
        <v>527</v>
      </c>
      <c r="C1006">
        <v>150</v>
      </c>
      <c r="D1006">
        <v>2442</v>
      </c>
      <c r="E1006">
        <v>55</v>
      </c>
      <c r="F1006">
        <v>83</v>
      </c>
      <c r="G1006">
        <v>2.88</v>
      </c>
    </row>
    <row r="1007" spans="1:7" x14ac:dyDescent="0.25">
      <c r="A1007">
        <v>2014</v>
      </c>
      <c r="B1007" t="s">
        <v>504</v>
      </c>
      <c r="C1007">
        <v>40</v>
      </c>
      <c r="D1007">
        <v>341</v>
      </c>
      <c r="E1007">
        <v>49</v>
      </c>
      <c r="F1007">
        <v>76</v>
      </c>
      <c r="G1007">
        <v>2.93</v>
      </c>
    </row>
    <row r="1008" spans="1:7" x14ac:dyDescent="0.25">
      <c r="A1008">
        <v>2014</v>
      </c>
      <c r="B1008" t="s">
        <v>505</v>
      </c>
      <c r="C1008">
        <v>870</v>
      </c>
      <c r="D1008">
        <v>13499</v>
      </c>
      <c r="E1008">
        <v>60</v>
      </c>
      <c r="F1008">
        <v>86</v>
      </c>
      <c r="G1008">
        <v>3.1</v>
      </c>
    </row>
    <row r="1009" spans="1:7" x14ac:dyDescent="0.25">
      <c r="A1009">
        <v>2014</v>
      </c>
      <c r="B1009" t="s">
        <v>506</v>
      </c>
      <c r="C1009">
        <v>160</v>
      </c>
      <c r="D1009">
        <v>1781</v>
      </c>
      <c r="E1009">
        <v>51</v>
      </c>
      <c r="F1009">
        <v>78</v>
      </c>
      <c r="G1009">
        <v>2.76</v>
      </c>
    </row>
    <row r="1010" spans="1:7" x14ac:dyDescent="0.25">
      <c r="A1010">
        <v>2014</v>
      </c>
      <c r="B1010" t="s">
        <v>507</v>
      </c>
      <c r="C1010">
        <v>150</v>
      </c>
      <c r="D1010">
        <v>3028</v>
      </c>
      <c r="E1010">
        <v>59</v>
      </c>
      <c r="F1010">
        <v>83</v>
      </c>
      <c r="G1010">
        <v>3.12</v>
      </c>
    </row>
    <row r="1011" spans="1:7" x14ac:dyDescent="0.25">
      <c r="A1011">
        <v>2014</v>
      </c>
      <c r="B1011" t="s">
        <v>535</v>
      </c>
      <c r="C1011">
        <v>550</v>
      </c>
      <c r="D1011">
        <v>2778</v>
      </c>
      <c r="E1011">
        <v>39</v>
      </c>
      <c r="F1011">
        <v>82</v>
      </c>
      <c r="G1011">
        <v>2.69</v>
      </c>
    </row>
    <row r="1012" spans="1:7" x14ac:dyDescent="0.25">
      <c r="A1012">
        <v>2014</v>
      </c>
      <c r="B1012" t="s">
        <v>509</v>
      </c>
      <c r="C1012">
        <v>40</v>
      </c>
      <c r="D1012">
        <v>207</v>
      </c>
      <c r="E1012">
        <v>37</v>
      </c>
      <c r="F1012">
        <v>70</v>
      </c>
      <c r="G1012">
        <v>2.5299999999999998</v>
      </c>
    </row>
    <row r="1013" spans="1:7" x14ac:dyDescent="0.25">
      <c r="A1013">
        <v>2014</v>
      </c>
      <c r="B1013" t="s">
        <v>510</v>
      </c>
      <c r="C1013">
        <v>50</v>
      </c>
      <c r="D1013">
        <v>732</v>
      </c>
      <c r="E1013">
        <v>52</v>
      </c>
      <c r="F1013">
        <v>77</v>
      </c>
      <c r="G1013">
        <v>3.08</v>
      </c>
    </row>
    <row r="1014" spans="1:7" x14ac:dyDescent="0.25">
      <c r="A1014">
        <v>2014</v>
      </c>
      <c r="B1014" t="s">
        <v>511</v>
      </c>
      <c r="C1014">
        <v>40</v>
      </c>
      <c r="D1014">
        <v>136</v>
      </c>
      <c r="E1014">
        <v>29</v>
      </c>
      <c r="F1014">
        <v>65</v>
      </c>
      <c r="G1014">
        <v>2.4</v>
      </c>
    </row>
    <row r="1015" spans="1:7" x14ac:dyDescent="0.25">
      <c r="A1015">
        <v>2014</v>
      </c>
      <c r="B1015" t="s">
        <v>512</v>
      </c>
      <c r="C1015">
        <v>40</v>
      </c>
      <c r="D1015">
        <v>252</v>
      </c>
      <c r="E1015">
        <v>37</v>
      </c>
      <c r="F1015">
        <v>63</v>
      </c>
      <c r="G1015">
        <v>2.68</v>
      </c>
    </row>
    <row r="1016" spans="1:7" x14ac:dyDescent="0.25">
      <c r="A1016">
        <v>2014</v>
      </c>
      <c r="B1016" t="s">
        <v>536</v>
      </c>
      <c r="C1016">
        <v>50</v>
      </c>
      <c r="D1016">
        <v>118</v>
      </c>
      <c r="E1016">
        <v>27</v>
      </c>
      <c r="F1016">
        <v>67</v>
      </c>
      <c r="G1016">
        <v>1.84</v>
      </c>
    </row>
    <row r="1017" spans="1:7" x14ac:dyDescent="0.25">
      <c r="A1017">
        <v>2014</v>
      </c>
      <c r="B1017" t="s">
        <v>514</v>
      </c>
      <c r="C1017">
        <v>40</v>
      </c>
      <c r="D1017">
        <v>134</v>
      </c>
      <c r="E1017">
        <v>28</v>
      </c>
      <c r="F1017">
        <v>63</v>
      </c>
      <c r="G1017">
        <v>2.2999999999999998</v>
      </c>
    </row>
    <row r="1018" spans="1:7" x14ac:dyDescent="0.25">
      <c r="A1018">
        <v>2014</v>
      </c>
      <c r="B1018" t="s">
        <v>515</v>
      </c>
      <c r="C1018">
        <v>260</v>
      </c>
      <c r="D1018">
        <v>1086</v>
      </c>
      <c r="E1018">
        <v>33</v>
      </c>
      <c r="F1018">
        <v>74</v>
      </c>
      <c r="G1018">
        <v>2.4300000000000002</v>
      </c>
    </row>
    <row r="1019" spans="1:7" x14ac:dyDescent="0.25">
      <c r="A1019">
        <v>2014</v>
      </c>
      <c r="B1019" t="s">
        <v>516</v>
      </c>
      <c r="C1019">
        <v>45</v>
      </c>
      <c r="D1019">
        <v>237</v>
      </c>
      <c r="E1019">
        <v>35</v>
      </c>
      <c r="F1019">
        <v>63</v>
      </c>
      <c r="G1019">
        <v>2.36</v>
      </c>
    </row>
    <row r="1020" spans="1:7" x14ac:dyDescent="0.25">
      <c r="A1020">
        <v>2014</v>
      </c>
      <c r="B1020" t="s">
        <v>518</v>
      </c>
      <c r="C1020">
        <v>40</v>
      </c>
      <c r="D1020">
        <v>308</v>
      </c>
      <c r="E1020">
        <v>40</v>
      </c>
      <c r="F1020">
        <v>68</v>
      </c>
      <c r="G1020">
        <v>2.65</v>
      </c>
    </row>
    <row r="1021" spans="1:7" x14ac:dyDescent="0.25">
      <c r="A1021">
        <v>2014</v>
      </c>
      <c r="B1021" t="s">
        <v>520</v>
      </c>
      <c r="C1021">
        <v>60</v>
      </c>
      <c r="D1021">
        <v>462</v>
      </c>
      <c r="E1021">
        <v>41</v>
      </c>
      <c r="F1021">
        <v>73</v>
      </c>
      <c r="G1021">
        <v>3</v>
      </c>
    </row>
    <row r="1022" spans="1:7" x14ac:dyDescent="0.25">
      <c r="A1022">
        <v>2014</v>
      </c>
      <c r="B1022" t="s">
        <v>521</v>
      </c>
      <c r="C1022">
        <v>120</v>
      </c>
      <c r="D1022">
        <v>1058</v>
      </c>
      <c r="E1022">
        <v>46</v>
      </c>
      <c r="F1022">
        <v>76</v>
      </c>
      <c r="G1022">
        <v>2.82</v>
      </c>
    </row>
    <row r="1023" spans="1:7" x14ac:dyDescent="0.25">
      <c r="A1023">
        <v>2014</v>
      </c>
      <c r="B1023" t="s">
        <v>523</v>
      </c>
      <c r="C1023">
        <v>40</v>
      </c>
      <c r="D1023">
        <v>145</v>
      </c>
      <c r="E1023">
        <v>31</v>
      </c>
      <c r="F1023">
        <v>62</v>
      </c>
      <c r="G1023">
        <v>2.5</v>
      </c>
    </row>
    <row r="1024" spans="1:7" x14ac:dyDescent="0.25">
      <c r="A1024">
        <v>2014</v>
      </c>
      <c r="B1024" t="s">
        <v>524</v>
      </c>
      <c r="C1024">
        <v>60</v>
      </c>
      <c r="D1024">
        <v>434</v>
      </c>
      <c r="E1024">
        <v>41</v>
      </c>
      <c r="F1024">
        <v>71</v>
      </c>
      <c r="G1024">
        <v>2.93</v>
      </c>
    </row>
    <row r="1025" spans="1:7" x14ac:dyDescent="0.25">
      <c r="A1025">
        <v>2014</v>
      </c>
      <c r="B1025" t="s">
        <v>537</v>
      </c>
      <c r="C1025">
        <v>300</v>
      </c>
      <c r="D1025">
        <v>8179</v>
      </c>
      <c r="E1025">
        <v>52</v>
      </c>
      <c r="F1025">
        <v>75</v>
      </c>
      <c r="G1025">
        <v>2.5</v>
      </c>
    </row>
    <row r="1026" spans="1:7" x14ac:dyDescent="0.25">
      <c r="A1026">
        <v>2015</v>
      </c>
      <c r="B1026" t="s">
        <v>414</v>
      </c>
      <c r="C1026">
        <v>105</v>
      </c>
      <c r="D1026">
        <v>1135</v>
      </c>
      <c r="E1026">
        <v>47</v>
      </c>
      <c r="F1026">
        <v>69</v>
      </c>
      <c r="G1026">
        <v>2.4</v>
      </c>
    </row>
    <row r="1027" spans="1:7" x14ac:dyDescent="0.25">
      <c r="A1027">
        <v>2015</v>
      </c>
      <c r="B1027" t="s">
        <v>526</v>
      </c>
      <c r="C1027">
        <v>40</v>
      </c>
      <c r="D1027">
        <v>349</v>
      </c>
      <c r="E1027">
        <v>44</v>
      </c>
      <c r="F1027">
        <v>72</v>
      </c>
      <c r="G1027">
        <v>2.25</v>
      </c>
    </row>
    <row r="1028" spans="1:7" x14ac:dyDescent="0.25">
      <c r="A1028">
        <v>2015</v>
      </c>
      <c r="B1028" t="s">
        <v>415</v>
      </c>
      <c r="C1028">
        <v>150</v>
      </c>
      <c r="D1028">
        <v>3831</v>
      </c>
      <c r="E1028">
        <v>58</v>
      </c>
      <c r="F1028">
        <v>81</v>
      </c>
      <c r="G1028">
        <v>2.4300000000000002</v>
      </c>
    </row>
    <row r="1029" spans="1:7" x14ac:dyDescent="0.25">
      <c r="A1029">
        <v>2015</v>
      </c>
      <c r="B1029" t="s">
        <v>416</v>
      </c>
      <c r="C1029">
        <v>45</v>
      </c>
      <c r="D1029">
        <v>1255</v>
      </c>
      <c r="E1029">
        <v>56</v>
      </c>
      <c r="F1029">
        <v>70</v>
      </c>
      <c r="G1029">
        <v>2.64</v>
      </c>
    </row>
    <row r="1030" spans="1:7" x14ac:dyDescent="0.25">
      <c r="A1030">
        <v>2015</v>
      </c>
      <c r="B1030" t="s">
        <v>417</v>
      </c>
      <c r="C1030">
        <v>15</v>
      </c>
      <c r="D1030">
        <v>562</v>
      </c>
      <c r="E1030">
        <v>55</v>
      </c>
      <c r="F1030">
        <v>71</v>
      </c>
      <c r="G1030">
        <v>2.4</v>
      </c>
    </row>
    <row r="1031" spans="1:7" x14ac:dyDescent="0.25">
      <c r="A1031">
        <v>2015</v>
      </c>
      <c r="B1031" t="s">
        <v>418</v>
      </c>
      <c r="C1031">
        <v>10</v>
      </c>
      <c r="D1031">
        <v>153</v>
      </c>
      <c r="E1031">
        <v>52</v>
      </c>
      <c r="F1031">
        <v>70</v>
      </c>
      <c r="G1031">
        <v>2.4</v>
      </c>
    </row>
    <row r="1032" spans="1:7" x14ac:dyDescent="0.25">
      <c r="A1032">
        <v>2015</v>
      </c>
      <c r="B1032" t="s">
        <v>419</v>
      </c>
      <c r="C1032">
        <v>30</v>
      </c>
      <c r="D1032">
        <v>126</v>
      </c>
      <c r="E1032">
        <v>47</v>
      </c>
      <c r="F1032">
        <v>78</v>
      </c>
      <c r="G1032">
        <v>2.8</v>
      </c>
    </row>
    <row r="1033" spans="1:7" x14ac:dyDescent="0.25">
      <c r="A1033">
        <v>2015</v>
      </c>
      <c r="B1033" t="s">
        <v>420</v>
      </c>
      <c r="C1033">
        <v>35</v>
      </c>
      <c r="D1033">
        <v>201</v>
      </c>
      <c r="E1033">
        <v>42</v>
      </c>
      <c r="F1033">
        <v>69</v>
      </c>
      <c r="G1033">
        <v>2.37</v>
      </c>
    </row>
    <row r="1034" spans="1:7" x14ac:dyDescent="0.25">
      <c r="A1034">
        <v>2015</v>
      </c>
      <c r="B1034" t="s">
        <v>421</v>
      </c>
      <c r="C1034">
        <v>45</v>
      </c>
      <c r="D1034">
        <v>310</v>
      </c>
      <c r="E1034">
        <v>42</v>
      </c>
      <c r="F1034">
        <v>64</v>
      </c>
      <c r="G1034">
        <v>2.27</v>
      </c>
    </row>
    <row r="1035" spans="1:7" x14ac:dyDescent="0.25">
      <c r="A1035">
        <v>2015</v>
      </c>
      <c r="B1035" t="s">
        <v>422</v>
      </c>
      <c r="C1035">
        <v>40</v>
      </c>
      <c r="D1035">
        <v>257</v>
      </c>
      <c r="E1035">
        <v>41</v>
      </c>
      <c r="F1035">
        <v>60</v>
      </c>
      <c r="G1035">
        <v>2.2799999999999998</v>
      </c>
    </row>
    <row r="1036" spans="1:7" x14ac:dyDescent="0.25">
      <c r="A1036">
        <v>2015</v>
      </c>
      <c r="B1036" t="s">
        <v>423</v>
      </c>
      <c r="C1036">
        <v>210</v>
      </c>
      <c r="D1036">
        <v>1402</v>
      </c>
      <c r="E1036">
        <v>48</v>
      </c>
      <c r="F1036">
        <v>73</v>
      </c>
      <c r="G1036">
        <v>2.56</v>
      </c>
    </row>
    <row r="1037" spans="1:7" x14ac:dyDescent="0.25">
      <c r="A1037">
        <v>2015</v>
      </c>
      <c r="B1037" t="s">
        <v>424</v>
      </c>
      <c r="C1037">
        <v>35</v>
      </c>
      <c r="D1037">
        <v>1311</v>
      </c>
      <c r="E1037">
        <v>60</v>
      </c>
      <c r="F1037">
        <v>81</v>
      </c>
      <c r="G1037">
        <v>2.63</v>
      </c>
    </row>
    <row r="1038" spans="1:7" x14ac:dyDescent="0.25">
      <c r="A1038">
        <v>2015</v>
      </c>
      <c r="B1038" t="s">
        <v>425</v>
      </c>
      <c r="C1038">
        <v>40</v>
      </c>
      <c r="D1038">
        <v>945</v>
      </c>
      <c r="E1038">
        <v>54</v>
      </c>
      <c r="F1038">
        <v>81</v>
      </c>
      <c r="G1038">
        <v>2.48</v>
      </c>
    </row>
    <row r="1039" spans="1:7" x14ac:dyDescent="0.25">
      <c r="A1039">
        <v>2015</v>
      </c>
      <c r="B1039" t="s">
        <v>426</v>
      </c>
      <c r="C1039">
        <v>560</v>
      </c>
      <c r="D1039">
        <v>10233</v>
      </c>
      <c r="E1039">
        <v>58</v>
      </c>
      <c r="F1039">
        <v>83</v>
      </c>
      <c r="G1039">
        <v>2.59</v>
      </c>
    </row>
    <row r="1040" spans="1:7" x14ac:dyDescent="0.25">
      <c r="A1040">
        <v>2015</v>
      </c>
      <c r="B1040" t="s">
        <v>427</v>
      </c>
      <c r="C1040">
        <v>590</v>
      </c>
      <c r="D1040">
        <v>5628</v>
      </c>
      <c r="E1040">
        <v>52</v>
      </c>
      <c r="F1040">
        <v>82</v>
      </c>
      <c r="G1040">
        <v>2.66</v>
      </c>
    </row>
    <row r="1041" spans="1:7" x14ac:dyDescent="0.25">
      <c r="A1041">
        <v>2015</v>
      </c>
      <c r="B1041" t="s">
        <v>428</v>
      </c>
      <c r="C1041">
        <v>70</v>
      </c>
      <c r="D1041">
        <v>284</v>
      </c>
      <c r="E1041">
        <v>40</v>
      </c>
      <c r="F1041">
        <v>73</v>
      </c>
      <c r="G1041">
        <v>2.4300000000000002</v>
      </c>
    </row>
    <row r="1042" spans="1:7" x14ac:dyDescent="0.25">
      <c r="A1042">
        <v>2015</v>
      </c>
      <c r="B1042" t="s">
        <v>429</v>
      </c>
      <c r="C1042">
        <v>40</v>
      </c>
      <c r="D1042">
        <v>344</v>
      </c>
      <c r="E1042">
        <v>50</v>
      </c>
      <c r="F1042">
        <v>68</v>
      </c>
      <c r="G1042">
        <v>2.5</v>
      </c>
    </row>
    <row r="1043" spans="1:7" x14ac:dyDescent="0.25">
      <c r="A1043">
        <v>2015</v>
      </c>
      <c r="B1043" t="s">
        <v>430</v>
      </c>
      <c r="C1043">
        <v>45</v>
      </c>
      <c r="D1043">
        <v>386</v>
      </c>
      <c r="E1043">
        <v>49</v>
      </c>
      <c r="F1043">
        <v>73</v>
      </c>
      <c r="G1043">
        <v>2.73</v>
      </c>
    </row>
    <row r="1044" spans="1:7" x14ac:dyDescent="0.25">
      <c r="A1044">
        <v>2015</v>
      </c>
      <c r="B1044" t="s">
        <v>431</v>
      </c>
      <c r="C1044">
        <v>15</v>
      </c>
      <c r="D1044">
        <v>229</v>
      </c>
      <c r="E1044">
        <v>56</v>
      </c>
      <c r="F1044">
        <v>69</v>
      </c>
      <c r="G1044">
        <v>2.6</v>
      </c>
    </row>
    <row r="1045" spans="1:7" x14ac:dyDescent="0.25">
      <c r="A1045">
        <v>2015</v>
      </c>
      <c r="B1045" t="s">
        <v>432</v>
      </c>
      <c r="C1045">
        <v>170</v>
      </c>
      <c r="D1045">
        <v>887</v>
      </c>
      <c r="E1045">
        <v>43</v>
      </c>
      <c r="F1045">
        <v>72</v>
      </c>
      <c r="G1045">
        <v>2.48</v>
      </c>
    </row>
    <row r="1046" spans="1:7" x14ac:dyDescent="0.25">
      <c r="A1046">
        <v>2015</v>
      </c>
      <c r="B1046" t="s">
        <v>433</v>
      </c>
      <c r="C1046">
        <v>170</v>
      </c>
      <c r="D1046">
        <v>840</v>
      </c>
      <c r="E1046">
        <v>42</v>
      </c>
      <c r="F1046">
        <v>67</v>
      </c>
      <c r="G1046">
        <v>2.52</v>
      </c>
    </row>
    <row r="1047" spans="1:7" x14ac:dyDescent="0.25">
      <c r="A1047">
        <v>2015</v>
      </c>
      <c r="B1047" t="s">
        <v>434</v>
      </c>
      <c r="C1047">
        <v>120</v>
      </c>
      <c r="D1047">
        <v>343</v>
      </c>
      <c r="E1047">
        <v>27</v>
      </c>
      <c r="F1047">
        <v>68</v>
      </c>
      <c r="G1047">
        <v>2.19</v>
      </c>
    </row>
    <row r="1048" spans="1:7" x14ac:dyDescent="0.25">
      <c r="A1048">
        <v>2015</v>
      </c>
      <c r="B1048" t="s">
        <v>435</v>
      </c>
      <c r="C1048">
        <v>40</v>
      </c>
      <c r="D1048">
        <v>142</v>
      </c>
      <c r="E1048">
        <v>35</v>
      </c>
      <c r="F1048">
        <v>71</v>
      </c>
      <c r="G1048">
        <v>2.23</v>
      </c>
    </row>
    <row r="1049" spans="1:7" x14ac:dyDescent="0.25">
      <c r="A1049">
        <v>2015</v>
      </c>
      <c r="B1049" t="s">
        <v>436</v>
      </c>
      <c r="C1049">
        <v>120</v>
      </c>
      <c r="D1049">
        <v>422</v>
      </c>
      <c r="E1049">
        <v>36</v>
      </c>
      <c r="F1049">
        <v>71</v>
      </c>
      <c r="G1049">
        <v>2.41</v>
      </c>
    </row>
    <row r="1050" spans="1:7" x14ac:dyDescent="0.25">
      <c r="A1050">
        <v>2015</v>
      </c>
      <c r="B1050" t="s">
        <v>437</v>
      </c>
      <c r="C1050">
        <v>270</v>
      </c>
      <c r="D1050">
        <v>1902</v>
      </c>
      <c r="E1050">
        <v>47</v>
      </c>
      <c r="F1050">
        <v>79</v>
      </c>
      <c r="G1050">
        <v>2.41</v>
      </c>
    </row>
    <row r="1051" spans="1:7" x14ac:dyDescent="0.25">
      <c r="A1051">
        <v>2015</v>
      </c>
      <c r="B1051" t="s">
        <v>438</v>
      </c>
      <c r="C1051">
        <v>60</v>
      </c>
      <c r="D1051">
        <v>2205</v>
      </c>
      <c r="E1051">
        <v>58</v>
      </c>
      <c r="F1051">
        <v>71</v>
      </c>
      <c r="G1051">
        <v>2.4</v>
      </c>
    </row>
    <row r="1052" spans="1:7" x14ac:dyDescent="0.25">
      <c r="A1052">
        <v>2015</v>
      </c>
      <c r="B1052" t="s">
        <v>439</v>
      </c>
      <c r="C1052">
        <v>120</v>
      </c>
      <c r="D1052">
        <v>436</v>
      </c>
      <c r="E1052">
        <v>33</v>
      </c>
      <c r="F1052">
        <v>65</v>
      </c>
      <c r="G1052">
        <v>2.3199999999999998</v>
      </c>
    </row>
    <row r="1053" spans="1:7" x14ac:dyDescent="0.25">
      <c r="A1053">
        <v>2015</v>
      </c>
      <c r="B1053" t="s">
        <v>440</v>
      </c>
      <c r="C1053">
        <v>30</v>
      </c>
      <c r="D1053">
        <v>113</v>
      </c>
      <c r="E1053">
        <v>36</v>
      </c>
      <c r="F1053">
        <v>73</v>
      </c>
      <c r="G1053">
        <v>2.4300000000000002</v>
      </c>
    </row>
    <row r="1054" spans="1:7" x14ac:dyDescent="0.25">
      <c r="A1054">
        <v>2015</v>
      </c>
      <c r="B1054" t="s">
        <v>441</v>
      </c>
      <c r="C1054">
        <v>849</v>
      </c>
      <c r="D1054">
        <v>3191</v>
      </c>
      <c r="E1054">
        <v>37</v>
      </c>
      <c r="F1054">
        <v>73</v>
      </c>
      <c r="G1054">
        <v>2.38</v>
      </c>
    </row>
    <row r="1055" spans="1:7" x14ac:dyDescent="0.25">
      <c r="A1055">
        <v>2015</v>
      </c>
      <c r="B1055" t="s">
        <v>442</v>
      </c>
      <c r="C1055">
        <v>120</v>
      </c>
      <c r="D1055">
        <v>856</v>
      </c>
      <c r="E1055">
        <v>43</v>
      </c>
      <c r="F1055">
        <v>70</v>
      </c>
      <c r="G1055">
        <v>2.4</v>
      </c>
    </row>
    <row r="1056" spans="1:7" x14ac:dyDescent="0.25">
      <c r="A1056">
        <v>2015</v>
      </c>
      <c r="B1056" t="s">
        <v>443</v>
      </c>
      <c r="C1056">
        <v>35</v>
      </c>
      <c r="D1056">
        <v>141</v>
      </c>
      <c r="E1056">
        <v>43</v>
      </c>
      <c r="F1056">
        <v>75</v>
      </c>
      <c r="G1056">
        <v>2.4</v>
      </c>
    </row>
    <row r="1057" spans="1:7" x14ac:dyDescent="0.25">
      <c r="A1057">
        <v>2015</v>
      </c>
      <c r="B1057" t="s">
        <v>444</v>
      </c>
      <c r="C1057">
        <v>30</v>
      </c>
      <c r="D1057">
        <v>150</v>
      </c>
      <c r="E1057">
        <v>35</v>
      </c>
      <c r="F1057">
        <v>63</v>
      </c>
      <c r="G1057">
        <v>2.27</v>
      </c>
    </row>
    <row r="1058" spans="1:7" x14ac:dyDescent="0.25">
      <c r="A1058">
        <v>2015</v>
      </c>
      <c r="B1058" t="s">
        <v>445</v>
      </c>
      <c r="C1058">
        <v>180</v>
      </c>
      <c r="D1058">
        <v>845</v>
      </c>
      <c r="E1058">
        <v>36</v>
      </c>
      <c r="F1058">
        <v>69</v>
      </c>
      <c r="G1058">
        <v>2.34</v>
      </c>
    </row>
    <row r="1059" spans="1:7" x14ac:dyDescent="0.25">
      <c r="A1059">
        <v>2015</v>
      </c>
      <c r="B1059" t="s">
        <v>446</v>
      </c>
      <c r="C1059">
        <v>50</v>
      </c>
      <c r="D1059">
        <v>162</v>
      </c>
      <c r="E1059">
        <v>27</v>
      </c>
      <c r="F1059">
        <v>61</v>
      </c>
      <c r="G1059">
        <v>1.84</v>
      </c>
    </row>
    <row r="1060" spans="1:7" x14ac:dyDescent="0.25">
      <c r="A1060">
        <v>2015</v>
      </c>
      <c r="B1060" t="s">
        <v>447</v>
      </c>
      <c r="C1060">
        <v>50</v>
      </c>
      <c r="D1060">
        <v>1792</v>
      </c>
      <c r="E1060">
        <v>55</v>
      </c>
      <c r="F1060">
        <v>72</v>
      </c>
      <c r="G1060">
        <v>2.2999999999999998</v>
      </c>
    </row>
    <row r="1061" spans="1:7" x14ac:dyDescent="0.25">
      <c r="A1061">
        <v>2015</v>
      </c>
      <c r="B1061" t="s">
        <v>448</v>
      </c>
      <c r="C1061">
        <v>60</v>
      </c>
      <c r="D1061">
        <v>2014</v>
      </c>
      <c r="E1061">
        <v>59</v>
      </c>
      <c r="F1061">
        <v>74</v>
      </c>
      <c r="G1061">
        <v>2.77</v>
      </c>
    </row>
    <row r="1062" spans="1:7" x14ac:dyDescent="0.25">
      <c r="A1062">
        <v>2015</v>
      </c>
      <c r="B1062" t="s">
        <v>449</v>
      </c>
      <c r="C1062">
        <v>50</v>
      </c>
      <c r="D1062">
        <v>781</v>
      </c>
      <c r="E1062">
        <v>51</v>
      </c>
      <c r="F1062">
        <v>66</v>
      </c>
      <c r="G1062">
        <v>2.3199999999999998</v>
      </c>
    </row>
    <row r="1063" spans="1:7" x14ac:dyDescent="0.25">
      <c r="A1063">
        <v>2015</v>
      </c>
      <c r="B1063" t="s">
        <v>450</v>
      </c>
      <c r="C1063">
        <v>60</v>
      </c>
      <c r="D1063">
        <v>487</v>
      </c>
      <c r="E1063">
        <v>41</v>
      </c>
      <c r="F1063">
        <v>60</v>
      </c>
      <c r="G1063">
        <v>2.4300000000000002</v>
      </c>
    </row>
    <row r="1064" spans="1:7" x14ac:dyDescent="0.25">
      <c r="A1064">
        <v>2015</v>
      </c>
      <c r="B1064" t="s">
        <v>451</v>
      </c>
      <c r="C1064">
        <v>30</v>
      </c>
      <c r="D1064">
        <v>248</v>
      </c>
      <c r="E1064">
        <v>41</v>
      </c>
      <c r="F1064">
        <v>64</v>
      </c>
      <c r="G1064">
        <v>2.2000000000000002</v>
      </c>
    </row>
    <row r="1065" spans="1:7" x14ac:dyDescent="0.25">
      <c r="A1065">
        <v>2015</v>
      </c>
      <c r="B1065" t="s">
        <v>529</v>
      </c>
      <c r="C1065">
        <v>300</v>
      </c>
      <c r="D1065">
        <v>5516</v>
      </c>
      <c r="E1065">
        <v>49</v>
      </c>
      <c r="F1065">
        <v>77</v>
      </c>
      <c r="G1065">
        <v>2.54</v>
      </c>
    </row>
    <row r="1066" spans="1:7" x14ac:dyDescent="0.25">
      <c r="A1066">
        <v>2015</v>
      </c>
      <c r="B1066" t="s">
        <v>453</v>
      </c>
      <c r="C1066">
        <v>120</v>
      </c>
      <c r="D1066">
        <v>1611</v>
      </c>
      <c r="E1066">
        <v>53</v>
      </c>
      <c r="F1066">
        <v>82</v>
      </c>
      <c r="G1066">
        <v>2.73</v>
      </c>
    </row>
    <row r="1067" spans="1:7" x14ac:dyDescent="0.25">
      <c r="A1067">
        <v>2015</v>
      </c>
      <c r="B1067" t="s">
        <v>454</v>
      </c>
      <c r="C1067">
        <v>30</v>
      </c>
      <c r="D1067">
        <v>380</v>
      </c>
      <c r="E1067">
        <v>50</v>
      </c>
      <c r="F1067">
        <v>67</v>
      </c>
      <c r="G1067">
        <v>2.5</v>
      </c>
    </row>
    <row r="1068" spans="1:7" x14ac:dyDescent="0.25">
      <c r="A1068">
        <v>2015</v>
      </c>
      <c r="B1068" t="s">
        <v>455</v>
      </c>
      <c r="C1068">
        <v>60</v>
      </c>
      <c r="D1068">
        <v>557</v>
      </c>
      <c r="E1068">
        <v>49</v>
      </c>
      <c r="F1068">
        <v>78</v>
      </c>
      <c r="G1068">
        <v>2.38</v>
      </c>
    </row>
    <row r="1069" spans="1:7" x14ac:dyDescent="0.25">
      <c r="A1069">
        <v>2015</v>
      </c>
      <c r="B1069" t="s">
        <v>456</v>
      </c>
      <c r="C1069">
        <v>40</v>
      </c>
      <c r="D1069">
        <v>933</v>
      </c>
      <c r="E1069">
        <v>56</v>
      </c>
      <c r="F1069">
        <v>73</v>
      </c>
      <c r="G1069">
        <v>2.48</v>
      </c>
    </row>
    <row r="1070" spans="1:7" x14ac:dyDescent="0.25">
      <c r="A1070">
        <v>2015</v>
      </c>
      <c r="B1070" t="s">
        <v>530</v>
      </c>
      <c r="C1070">
        <v>25</v>
      </c>
      <c r="D1070">
        <v>412</v>
      </c>
      <c r="E1070">
        <v>52</v>
      </c>
      <c r="F1070">
        <v>83</v>
      </c>
      <c r="G1070">
        <v>2.56</v>
      </c>
    </row>
    <row r="1071" spans="1:7" x14ac:dyDescent="0.25">
      <c r="A1071">
        <v>2015</v>
      </c>
      <c r="B1071" t="s">
        <v>458</v>
      </c>
      <c r="C1071">
        <v>40</v>
      </c>
      <c r="D1071">
        <v>171</v>
      </c>
      <c r="E1071">
        <v>38</v>
      </c>
      <c r="F1071">
        <v>62</v>
      </c>
      <c r="G1071">
        <v>2.2999999999999998</v>
      </c>
    </row>
    <row r="1072" spans="1:7" x14ac:dyDescent="0.25">
      <c r="A1072">
        <v>2015</v>
      </c>
      <c r="B1072" t="s">
        <v>459</v>
      </c>
      <c r="C1072">
        <v>100</v>
      </c>
      <c r="D1072">
        <v>839</v>
      </c>
      <c r="E1072">
        <v>43</v>
      </c>
      <c r="F1072">
        <v>72</v>
      </c>
      <c r="G1072">
        <v>2.2799999999999998</v>
      </c>
    </row>
    <row r="1073" spans="1:7" x14ac:dyDescent="0.25">
      <c r="A1073">
        <v>2015</v>
      </c>
      <c r="B1073" t="s">
        <v>531</v>
      </c>
      <c r="C1073">
        <v>60</v>
      </c>
      <c r="D1073">
        <v>374</v>
      </c>
      <c r="E1073">
        <v>36</v>
      </c>
      <c r="F1073">
        <v>61</v>
      </c>
      <c r="G1073">
        <v>2.17</v>
      </c>
    </row>
    <row r="1074" spans="1:7" x14ac:dyDescent="0.25">
      <c r="A1074">
        <v>2015</v>
      </c>
      <c r="B1074" t="s">
        <v>532</v>
      </c>
      <c r="C1074">
        <v>60</v>
      </c>
      <c r="D1074">
        <v>309</v>
      </c>
      <c r="E1074">
        <v>35</v>
      </c>
      <c r="F1074">
        <v>61</v>
      </c>
      <c r="G1074">
        <v>2.2000000000000002</v>
      </c>
    </row>
    <row r="1075" spans="1:7" x14ac:dyDescent="0.25">
      <c r="A1075">
        <v>2015</v>
      </c>
      <c r="B1075" t="s">
        <v>461</v>
      </c>
      <c r="C1075">
        <v>80</v>
      </c>
      <c r="D1075">
        <v>690</v>
      </c>
      <c r="E1075">
        <v>43</v>
      </c>
      <c r="F1075">
        <v>70</v>
      </c>
      <c r="G1075">
        <v>2.36</v>
      </c>
    </row>
    <row r="1076" spans="1:7" x14ac:dyDescent="0.25">
      <c r="A1076">
        <v>2015</v>
      </c>
      <c r="B1076" t="s">
        <v>462</v>
      </c>
      <c r="C1076">
        <v>130</v>
      </c>
      <c r="D1076">
        <v>458</v>
      </c>
      <c r="E1076">
        <v>33</v>
      </c>
      <c r="F1076">
        <v>69</v>
      </c>
      <c r="G1076">
        <v>2.2400000000000002</v>
      </c>
    </row>
    <row r="1077" spans="1:7" x14ac:dyDescent="0.25">
      <c r="A1077">
        <v>2015</v>
      </c>
      <c r="B1077" t="s">
        <v>538</v>
      </c>
      <c r="C1077">
        <v>200</v>
      </c>
      <c r="D1077">
        <v>1362</v>
      </c>
      <c r="E1077">
        <v>43</v>
      </c>
      <c r="F1077">
        <v>77</v>
      </c>
      <c r="G1077">
        <v>2.44</v>
      </c>
    </row>
    <row r="1078" spans="1:7" x14ac:dyDescent="0.25">
      <c r="A1078">
        <v>2015</v>
      </c>
      <c r="B1078" t="s">
        <v>539</v>
      </c>
      <c r="C1078">
        <v>40</v>
      </c>
      <c r="D1078">
        <v>171</v>
      </c>
      <c r="E1078">
        <v>38</v>
      </c>
      <c r="F1078">
        <v>62</v>
      </c>
      <c r="G1078">
        <v>2.23</v>
      </c>
    </row>
    <row r="1079" spans="1:7" x14ac:dyDescent="0.25">
      <c r="A1079">
        <v>2015</v>
      </c>
      <c r="B1079" t="s">
        <v>465</v>
      </c>
      <c r="C1079">
        <v>150</v>
      </c>
      <c r="D1079">
        <v>1196</v>
      </c>
      <c r="E1079">
        <v>49</v>
      </c>
      <c r="F1079">
        <v>80</v>
      </c>
      <c r="G1079">
        <v>2.65</v>
      </c>
    </row>
    <row r="1080" spans="1:7" x14ac:dyDescent="0.25">
      <c r="A1080">
        <v>2015</v>
      </c>
      <c r="B1080" t="s">
        <v>466</v>
      </c>
      <c r="C1080">
        <v>80</v>
      </c>
      <c r="D1080">
        <v>436</v>
      </c>
      <c r="E1080">
        <v>44</v>
      </c>
      <c r="F1080">
        <v>72</v>
      </c>
      <c r="G1080">
        <v>2.38</v>
      </c>
    </row>
    <row r="1081" spans="1:7" x14ac:dyDescent="0.25">
      <c r="A1081">
        <v>2015</v>
      </c>
      <c r="B1081" t="s">
        <v>467</v>
      </c>
      <c r="C1081">
        <v>25</v>
      </c>
      <c r="D1081">
        <v>584</v>
      </c>
      <c r="E1081">
        <v>50</v>
      </c>
      <c r="F1081">
        <v>69</v>
      </c>
      <c r="G1081">
        <v>2.48</v>
      </c>
    </row>
    <row r="1082" spans="1:7" x14ac:dyDescent="0.25">
      <c r="A1082">
        <v>2015</v>
      </c>
      <c r="B1082" t="s">
        <v>468</v>
      </c>
      <c r="C1082">
        <v>40</v>
      </c>
      <c r="D1082">
        <v>424</v>
      </c>
      <c r="E1082">
        <v>44</v>
      </c>
      <c r="F1082">
        <v>63</v>
      </c>
      <c r="G1082">
        <v>2.48</v>
      </c>
    </row>
    <row r="1083" spans="1:7" x14ac:dyDescent="0.25">
      <c r="A1083">
        <v>2015</v>
      </c>
      <c r="B1083" t="s">
        <v>469</v>
      </c>
      <c r="C1083">
        <v>25</v>
      </c>
      <c r="D1083">
        <v>205</v>
      </c>
      <c r="E1083">
        <v>44</v>
      </c>
      <c r="F1083">
        <v>69</v>
      </c>
      <c r="G1083">
        <v>2.48</v>
      </c>
    </row>
    <row r="1084" spans="1:7" x14ac:dyDescent="0.25">
      <c r="A1084">
        <v>2015</v>
      </c>
      <c r="B1084" t="s">
        <v>470</v>
      </c>
      <c r="C1084">
        <v>40</v>
      </c>
      <c r="D1084">
        <v>254</v>
      </c>
      <c r="E1084">
        <v>42</v>
      </c>
      <c r="F1084">
        <v>64</v>
      </c>
      <c r="G1084">
        <v>2.35</v>
      </c>
    </row>
    <row r="1085" spans="1:7" x14ac:dyDescent="0.25">
      <c r="A1085">
        <v>2015</v>
      </c>
      <c r="B1085" t="s">
        <v>471</v>
      </c>
      <c r="C1085">
        <v>30</v>
      </c>
      <c r="D1085">
        <v>108</v>
      </c>
      <c r="E1085">
        <v>33</v>
      </c>
      <c r="F1085">
        <v>61</v>
      </c>
      <c r="G1085">
        <v>2.17</v>
      </c>
    </row>
    <row r="1086" spans="1:7" x14ac:dyDescent="0.25">
      <c r="A1086">
        <v>2015</v>
      </c>
      <c r="B1086" t="s">
        <v>472</v>
      </c>
      <c r="C1086">
        <v>60</v>
      </c>
      <c r="D1086">
        <v>116</v>
      </c>
      <c r="E1086">
        <v>27</v>
      </c>
      <c r="F1086">
        <v>56</v>
      </c>
      <c r="G1086">
        <v>1.37</v>
      </c>
    </row>
    <row r="1087" spans="1:7" x14ac:dyDescent="0.25">
      <c r="A1087">
        <v>2015</v>
      </c>
      <c r="B1087" t="s">
        <v>473</v>
      </c>
      <c r="C1087">
        <v>295</v>
      </c>
      <c r="D1087">
        <v>16233</v>
      </c>
      <c r="E1087">
        <v>72</v>
      </c>
      <c r="F1087">
        <v>90</v>
      </c>
      <c r="G1087">
        <v>2.73</v>
      </c>
    </row>
    <row r="1088" spans="1:7" x14ac:dyDescent="0.25">
      <c r="A1088">
        <v>2015</v>
      </c>
      <c r="B1088" t="s">
        <v>533</v>
      </c>
      <c r="C1088">
        <v>100</v>
      </c>
      <c r="D1088">
        <v>5051</v>
      </c>
      <c r="E1088">
        <v>70</v>
      </c>
      <c r="F1088">
        <v>89</v>
      </c>
      <c r="G1088">
        <v>3.11</v>
      </c>
    </row>
    <row r="1089" spans="1:7" x14ac:dyDescent="0.25">
      <c r="A1089">
        <v>2015</v>
      </c>
      <c r="B1089" t="s">
        <v>475</v>
      </c>
      <c r="C1089">
        <v>80</v>
      </c>
      <c r="D1089">
        <v>2061</v>
      </c>
      <c r="E1089">
        <v>53</v>
      </c>
      <c r="F1089">
        <v>74</v>
      </c>
      <c r="G1089">
        <v>2.4</v>
      </c>
    </row>
    <row r="1090" spans="1:7" x14ac:dyDescent="0.25">
      <c r="A1090">
        <v>2015</v>
      </c>
      <c r="B1090" t="s">
        <v>476</v>
      </c>
      <c r="C1090">
        <v>60</v>
      </c>
      <c r="D1090">
        <v>873</v>
      </c>
      <c r="E1090">
        <v>49</v>
      </c>
      <c r="F1090">
        <v>76</v>
      </c>
      <c r="G1090">
        <v>2.52</v>
      </c>
    </row>
    <row r="1091" spans="1:7" x14ac:dyDescent="0.25">
      <c r="A1091">
        <v>2015</v>
      </c>
      <c r="B1091" t="s">
        <v>477</v>
      </c>
      <c r="C1091">
        <v>80</v>
      </c>
      <c r="D1091">
        <v>1131</v>
      </c>
      <c r="E1091">
        <v>46</v>
      </c>
      <c r="F1091">
        <v>73</v>
      </c>
      <c r="G1091">
        <v>2.39</v>
      </c>
    </row>
    <row r="1092" spans="1:7" x14ac:dyDescent="0.25">
      <c r="A1092">
        <v>2015</v>
      </c>
      <c r="B1092" t="s">
        <v>478</v>
      </c>
      <c r="C1092">
        <v>30</v>
      </c>
      <c r="D1092">
        <v>389</v>
      </c>
      <c r="E1092">
        <v>47</v>
      </c>
      <c r="F1092">
        <v>68</v>
      </c>
      <c r="G1092">
        <v>2.37</v>
      </c>
    </row>
    <row r="1093" spans="1:7" x14ac:dyDescent="0.25">
      <c r="A1093">
        <v>2015</v>
      </c>
      <c r="B1093" t="s">
        <v>479</v>
      </c>
      <c r="C1093">
        <v>60</v>
      </c>
      <c r="D1093">
        <v>284</v>
      </c>
      <c r="E1093">
        <v>36</v>
      </c>
      <c r="F1093">
        <v>60</v>
      </c>
      <c r="G1093">
        <v>2.17</v>
      </c>
    </row>
    <row r="1094" spans="1:7" x14ac:dyDescent="0.25">
      <c r="A1094">
        <v>2015</v>
      </c>
      <c r="B1094" t="s">
        <v>480</v>
      </c>
      <c r="C1094">
        <v>133</v>
      </c>
      <c r="D1094">
        <v>1275</v>
      </c>
      <c r="E1094">
        <v>46</v>
      </c>
      <c r="F1094">
        <v>66</v>
      </c>
      <c r="G1094">
        <v>2.35</v>
      </c>
    </row>
    <row r="1095" spans="1:7" x14ac:dyDescent="0.25">
      <c r="A1095">
        <v>2015</v>
      </c>
      <c r="B1095" t="s">
        <v>481</v>
      </c>
      <c r="C1095">
        <v>50</v>
      </c>
      <c r="D1095">
        <v>475</v>
      </c>
      <c r="E1095">
        <v>45</v>
      </c>
      <c r="F1095">
        <v>71</v>
      </c>
      <c r="G1095">
        <v>2.34</v>
      </c>
    </row>
    <row r="1096" spans="1:7" x14ac:dyDescent="0.25">
      <c r="A1096">
        <v>2015</v>
      </c>
      <c r="B1096" t="s">
        <v>482</v>
      </c>
      <c r="C1096">
        <v>80</v>
      </c>
      <c r="D1096">
        <v>833</v>
      </c>
      <c r="E1096">
        <v>46</v>
      </c>
      <c r="F1096">
        <v>68</v>
      </c>
      <c r="G1096">
        <v>2.4500000000000002</v>
      </c>
    </row>
    <row r="1097" spans="1:7" x14ac:dyDescent="0.25">
      <c r="A1097">
        <v>2015</v>
      </c>
      <c r="B1097" t="s">
        <v>483</v>
      </c>
      <c r="C1097">
        <v>70</v>
      </c>
      <c r="D1097">
        <v>2848</v>
      </c>
      <c r="E1097">
        <v>60</v>
      </c>
      <c r="F1097">
        <v>77</v>
      </c>
      <c r="G1097">
        <v>2.61</v>
      </c>
    </row>
    <row r="1098" spans="1:7" x14ac:dyDescent="0.25">
      <c r="A1098">
        <v>2015</v>
      </c>
      <c r="B1098" t="s">
        <v>484</v>
      </c>
      <c r="C1098">
        <v>40</v>
      </c>
      <c r="D1098">
        <v>1062</v>
      </c>
      <c r="E1098">
        <v>54</v>
      </c>
      <c r="F1098">
        <v>70</v>
      </c>
      <c r="G1098">
        <v>2.68</v>
      </c>
    </row>
    <row r="1099" spans="1:7" x14ac:dyDescent="0.25">
      <c r="A1099">
        <v>2015</v>
      </c>
      <c r="B1099" t="s">
        <v>485</v>
      </c>
      <c r="C1099">
        <v>40</v>
      </c>
      <c r="D1099">
        <v>341</v>
      </c>
      <c r="E1099">
        <v>43</v>
      </c>
      <c r="F1099">
        <v>65</v>
      </c>
      <c r="G1099">
        <v>2.4500000000000002</v>
      </c>
    </row>
    <row r="1100" spans="1:7" x14ac:dyDescent="0.25">
      <c r="A1100">
        <v>2015</v>
      </c>
      <c r="B1100" t="s">
        <v>486</v>
      </c>
      <c r="C1100">
        <v>25</v>
      </c>
      <c r="D1100">
        <v>186</v>
      </c>
      <c r="E1100">
        <v>41</v>
      </c>
      <c r="F1100">
        <v>65</v>
      </c>
      <c r="G1100">
        <v>2.52</v>
      </c>
    </row>
    <row r="1101" spans="1:7" x14ac:dyDescent="0.25">
      <c r="A1101">
        <v>2015</v>
      </c>
      <c r="B1101" t="s">
        <v>487</v>
      </c>
      <c r="C1101">
        <v>20</v>
      </c>
      <c r="D1101">
        <v>114</v>
      </c>
      <c r="E1101">
        <v>36</v>
      </c>
      <c r="F1101">
        <v>60</v>
      </c>
      <c r="G1101">
        <v>2.25</v>
      </c>
    </row>
    <row r="1102" spans="1:7" x14ac:dyDescent="0.25">
      <c r="A1102">
        <v>2015</v>
      </c>
      <c r="B1102" t="s">
        <v>488</v>
      </c>
      <c r="C1102">
        <v>40</v>
      </c>
      <c r="D1102">
        <v>265</v>
      </c>
      <c r="E1102">
        <v>37</v>
      </c>
      <c r="F1102">
        <v>57</v>
      </c>
      <c r="G1102">
        <v>2.35</v>
      </c>
    </row>
    <row r="1103" spans="1:7" x14ac:dyDescent="0.25">
      <c r="A1103">
        <v>2015</v>
      </c>
      <c r="B1103" t="s">
        <v>534</v>
      </c>
      <c r="C1103">
        <v>300</v>
      </c>
      <c r="D1103">
        <v>4541</v>
      </c>
      <c r="E1103">
        <v>50</v>
      </c>
      <c r="F1103">
        <v>79</v>
      </c>
      <c r="G1103">
        <v>2.33</v>
      </c>
    </row>
    <row r="1104" spans="1:7" x14ac:dyDescent="0.25">
      <c r="A1104">
        <v>2015</v>
      </c>
      <c r="B1104" t="s">
        <v>490</v>
      </c>
      <c r="C1104">
        <v>40</v>
      </c>
      <c r="D1104">
        <v>196</v>
      </c>
      <c r="E1104">
        <v>44</v>
      </c>
      <c r="F1104">
        <v>83</v>
      </c>
      <c r="G1104">
        <v>2.73</v>
      </c>
    </row>
    <row r="1105" spans="1:7" x14ac:dyDescent="0.25">
      <c r="A1105">
        <v>2015</v>
      </c>
      <c r="B1105" t="s">
        <v>491</v>
      </c>
      <c r="C1105">
        <v>120</v>
      </c>
      <c r="D1105">
        <v>211</v>
      </c>
      <c r="E1105">
        <v>27</v>
      </c>
      <c r="F1105">
        <v>64</v>
      </c>
      <c r="G1105">
        <v>1.31</v>
      </c>
    </row>
    <row r="1106" spans="1:7" x14ac:dyDescent="0.25">
      <c r="A1106">
        <v>2015</v>
      </c>
      <c r="B1106" t="s">
        <v>492</v>
      </c>
      <c r="C1106">
        <v>330</v>
      </c>
      <c r="D1106">
        <v>2816</v>
      </c>
      <c r="E1106">
        <v>49</v>
      </c>
      <c r="F1106">
        <v>88</v>
      </c>
      <c r="G1106">
        <v>2.38</v>
      </c>
    </row>
    <row r="1107" spans="1:7" x14ac:dyDescent="0.25">
      <c r="A1107">
        <v>2015</v>
      </c>
      <c r="B1107" t="s">
        <v>493</v>
      </c>
      <c r="C1107">
        <v>40</v>
      </c>
      <c r="D1107">
        <v>1073</v>
      </c>
      <c r="E1107">
        <v>68</v>
      </c>
      <c r="F1107">
        <v>90</v>
      </c>
      <c r="G1107">
        <v>2.6</v>
      </c>
    </row>
    <row r="1108" spans="1:7" x14ac:dyDescent="0.25">
      <c r="A1108">
        <v>2015</v>
      </c>
      <c r="B1108" t="s">
        <v>494</v>
      </c>
      <c r="C1108">
        <v>40</v>
      </c>
      <c r="D1108">
        <v>377</v>
      </c>
      <c r="E1108">
        <v>46</v>
      </c>
      <c r="F1108">
        <v>68</v>
      </c>
      <c r="G1108">
        <v>2.4500000000000002</v>
      </c>
    </row>
    <row r="1109" spans="1:7" x14ac:dyDescent="0.25">
      <c r="A1109">
        <v>2015</v>
      </c>
      <c r="B1109" t="s">
        <v>495</v>
      </c>
      <c r="C1109">
        <v>40</v>
      </c>
      <c r="D1109">
        <v>484</v>
      </c>
      <c r="E1109">
        <v>52</v>
      </c>
      <c r="F1109">
        <v>73</v>
      </c>
      <c r="G1109">
        <v>2.5499999999999998</v>
      </c>
    </row>
    <row r="1110" spans="1:7" x14ac:dyDescent="0.25">
      <c r="A1110">
        <v>2015</v>
      </c>
      <c r="B1110" t="s">
        <v>496</v>
      </c>
      <c r="C1110">
        <v>40</v>
      </c>
      <c r="D1110">
        <v>300</v>
      </c>
      <c r="E1110">
        <v>50</v>
      </c>
      <c r="F1110">
        <v>76</v>
      </c>
      <c r="G1110">
        <v>2.5499999999999998</v>
      </c>
    </row>
    <row r="1111" spans="1:7" x14ac:dyDescent="0.25">
      <c r="A1111">
        <v>2015</v>
      </c>
      <c r="B1111" t="s">
        <v>497</v>
      </c>
      <c r="C1111">
        <v>60</v>
      </c>
      <c r="D1111">
        <v>2402</v>
      </c>
      <c r="E1111">
        <v>62</v>
      </c>
      <c r="F1111">
        <v>82</v>
      </c>
      <c r="G1111">
        <v>2.38</v>
      </c>
    </row>
    <row r="1112" spans="1:7" x14ac:dyDescent="0.25">
      <c r="A1112">
        <v>2015</v>
      </c>
      <c r="B1112" t="s">
        <v>498</v>
      </c>
      <c r="C1112">
        <v>100</v>
      </c>
      <c r="D1112">
        <v>551</v>
      </c>
      <c r="E1112">
        <v>42</v>
      </c>
      <c r="F1112">
        <v>74</v>
      </c>
      <c r="G1112">
        <v>2.5299999999999998</v>
      </c>
    </row>
    <row r="1113" spans="1:7" x14ac:dyDescent="0.25">
      <c r="A1113">
        <v>2015</v>
      </c>
      <c r="B1113" t="s">
        <v>499</v>
      </c>
      <c r="C1113">
        <v>60</v>
      </c>
      <c r="D1113">
        <v>157</v>
      </c>
      <c r="E1113">
        <v>27</v>
      </c>
      <c r="F1113">
        <v>65</v>
      </c>
      <c r="G1113">
        <v>2.15</v>
      </c>
    </row>
    <row r="1114" spans="1:7" x14ac:dyDescent="0.25">
      <c r="A1114">
        <v>2015</v>
      </c>
      <c r="B1114" t="s">
        <v>500</v>
      </c>
      <c r="C1114">
        <v>40</v>
      </c>
      <c r="D1114">
        <v>284</v>
      </c>
      <c r="E1114">
        <v>48</v>
      </c>
      <c r="F1114">
        <v>70</v>
      </c>
      <c r="G1114">
        <v>2.6</v>
      </c>
    </row>
    <row r="1115" spans="1:7" x14ac:dyDescent="0.25">
      <c r="A1115">
        <v>2015</v>
      </c>
      <c r="B1115" t="s">
        <v>501</v>
      </c>
      <c r="C1115">
        <v>50</v>
      </c>
      <c r="D1115">
        <v>402</v>
      </c>
      <c r="E1115">
        <v>54</v>
      </c>
      <c r="F1115">
        <v>78</v>
      </c>
      <c r="G1115">
        <v>2.64</v>
      </c>
    </row>
    <row r="1116" spans="1:7" x14ac:dyDescent="0.25">
      <c r="A1116">
        <v>2015</v>
      </c>
      <c r="B1116" t="s">
        <v>502</v>
      </c>
      <c r="C1116">
        <v>40</v>
      </c>
      <c r="D1116">
        <v>747</v>
      </c>
      <c r="E1116">
        <v>51</v>
      </c>
      <c r="F1116">
        <v>76</v>
      </c>
      <c r="G1116">
        <v>2.58</v>
      </c>
    </row>
    <row r="1117" spans="1:7" x14ac:dyDescent="0.25">
      <c r="A1117">
        <v>2015</v>
      </c>
      <c r="B1117" t="s">
        <v>527</v>
      </c>
      <c r="C1117">
        <v>150</v>
      </c>
      <c r="D1117">
        <v>1993</v>
      </c>
      <c r="E1117">
        <v>56</v>
      </c>
      <c r="F1117">
        <v>89</v>
      </c>
      <c r="G1117">
        <v>2.5299999999999998</v>
      </c>
    </row>
    <row r="1118" spans="1:7" x14ac:dyDescent="0.25">
      <c r="A1118">
        <v>2015</v>
      </c>
      <c r="B1118" t="s">
        <v>504</v>
      </c>
      <c r="C1118">
        <v>40</v>
      </c>
      <c r="D1118">
        <v>237</v>
      </c>
      <c r="E1118">
        <v>50</v>
      </c>
      <c r="F1118">
        <v>76</v>
      </c>
      <c r="G1118">
        <v>2.75</v>
      </c>
    </row>
    <row r="1119" spans="1:7" x14ac:dyDescent="0.25">
      <c r="A1119">
        <v>2015</v>
      </c>
      <c r="B1119" t="s">
        <v>505</v>
      </c>
      <c r="C1119">
        <v>870</v>
      </c>
      <c r="D1119">
        <v>11495</v>
      </c>
      <c r="E1119">
        <v>61</v>
      </c>
      <c r="F1119">
        <v>90</v>
      </c>
      <c r="G1119">
        <v>2.6</v>
      </c>
    </row>
    <row r="1120" spans="1:7" x14ac:dyDescent="0.25">
      <c r="A1120">
        <v>2015</v>
      </c>
      <c r="B1120" t="s">
        <v>506</v>
      </c>
      <c r="C1120">
        <v>160</v>
      </c>
      <c r="D1120">
        <v>1495</v>
      </c>
      <c r="E1120">
        <v>50</v>
      </c>
      <c r="F1120">
        <v>90</v>
      </c>
      <c r="G1120">
        <v>2.66</v>
      </c>
    </row>
    <row r="1121" spans="1:7" x14ac:dyDescent="0.25">
      <c r="A1121">
        <v>2015</v>
      </c>
      <c r="B1121" t="s">
        <v>507</v>
      </c>
      <c r="C1121">
        <v>150</v>
      </c>
      <c r="D1121">
        <v>2508</v>
      </c>
      <c r="E1121">
        <v>60</v>
      </c>
      <c r="F1121">
        <v>83</v>
      </c>
      <c r="G1121">
        <v>2.73</v>
      </c>
    </row>
    <row r="1122" spans="1:7" x14ac:dyDescent="0.25">
      <c r="A1122">
        <v>2015</v>
      </c>
      <c r="B1122" t="s">
        <v>535</v>
      </c>
      <c r="C1122">
        <v>550</v>
      </c>
      <c r="D1122">
        <v>2626</v>
      </c>
      <c r="E1122">
        <v>43</v>
      </c>
      <c r="F1122">
        <v>87</v>
      </c>
      <c r="G1122">
        <v>2.5099999999999998</v>
      </c>
    </row>
    <row r="1123" spans="1:7" x14ac:dyDescent="0.25">
      <c r="A1123">
        <v>2015</v>
      </c>
      <c r="B1123" t="s">
        <v>509</v>
      </c>
      <c r="C1123">
        <v>40</v>
      </c>
      <c r="D1123">
        <v>157</v>
      </c>
      <c r="E1123">
        <v>37</v>
      </c>
      <c r="F1123">
        <v>67</v>
      </c>
      <c r="G1123">
        <v>2.2999999999999998</v>
      </c>
    </row>
    <row r="1124" spans="1:7" x14ac:dyDescent="0.25">
      <c r="A1124">
        <v>2015</v>
      </c>
      <c r="B1124" t="s">
        <v>510</v>
      </c>
      <c r="C1124">
        <v>50</v>
      </c>
      <c r="D1124">
        <v>607</v>
      </c>
      <c r="E1124">
        <v>54</v>
      </c>
      <c r="F1124">
        <v>76</v>
      </c>
      <c r="G1124">
        <v>2.48</v>
      </c>
    </row>
    <row r="1125" spans="1:7" x14ac:dyDescent="0.25">
      <c r="A1125">
        <v>2015</v>
      </c>
      <c r="B1125" t="s">
        <v>511</v>
      </c>
      <c r="C1125">
        <v>40</v>
      </c>
      <c r="D1125">
        <v>133</v>
      </c>
      <c r="E1125">
        <v>33</v>
      </c>
      <c r="F1125">
        <v>61</v>
      </c>
      <c r="G1125">
        <v>2.33</v>
      </c>
    </row>
    <row r="1126" spans="1:7" x14ac:dyDescent="0.25">
      <c r="A1126">
        <v>2015</v>
      </c>
      <c r="B1126" t="s">
        <v>540</v>
      </c>
      <c r="C1126">
        <v>40</v>
      </c>
      <c r="D1126">
        <v>256</v>
      </c>
      <c r="E1126">
        <v>42</v>
      </c>
      <c r="F1126">
        <v>69</v>
      </c>
      <c r="G1126">
        <v>2.48</v>
      </c>
    </row>
    <row r="1127" spans="1:7" x14ac:dyDescent="0.25">
      <c r="A1127">
        <v>2015</v>
      </c>
      <c r="B1127" t="s">
        <v>513</v>
      </c>
      <c r="C1127">
        <v>50</v>
      </c>
      <c r="D1127">
        <v>318</v>
      </c>
      <c r="E1127">
        <v>44</v>
      </c>
      <c r="F1127">
        <v>70</v>
      </c>
      <c r="G1127">
        <v>2.46</v>
      </c>
    </row>
    <row r="1128" spans="1:7" x14ac:dyDescent="0.25">
      <c r="A1128">
        <v>2015</v>
      </c>
      <c r="B1128" t="s">
        <v>514</v>
      </c>
      <c r="C1128">
        <v>40</v>
      </c>
      <c r="D1128">
        <v>77</v>
      </c>
      <c r="E1128">
        <v>27</v>
      </c>
      <c r="F1128">
        <v>74</v>
      </c>
      <c r="G1128">
        <v>1.55</v>
      </c>
    </row>
    <row r="1129" spans="1:7" x14ac:dyDescent="0.25">
      <c r="A1129">
        <v>2015</v>
      </c>
      <c r="B1129" t="s">
        <v>515</v>
      </c>
      <c r="C1129">
        <v>260</v>
      </c>
      <c r="D1129">
        <v>786</v>
      </c>
      <c r="E1129">
        <v>31</v>
      </c>
      <c r="F1129">
        <v>76</v>
      </c>
      <c r="G1129">
        <v>2.2999999999999998</v>
      </c>
    </row>
    <row r="1130" spans="1:7" x14ac:dyDescent="0.25">
      <c r="A1130">
        <v>2015</v>
      </c>
      <c r="B1130" t="s">
        <v>516</v>
      </c>
      <c r="C1130">
        <v>45</v>
      </c>
      <c r="D1130">
        <v>171</v>
      </c>
      <c r="E1130">
        <v>35</v>
      </c>
      <c r="F1130">
        <v>61</v>
      </c>
      <c r="G1130">
        <v>2.36</v>
      </c>
    </row>
    <row r="1131" spans="1:7" x14ac:dyDescent="0.25">
      <c r="A1131">
        <v>2015</v>
      </c>
      <c r="B1131" t="s">
        <v>518</v>
      </c>
      <c r="C1131">
        <v>40</v>
      </c>
      <c r="D1131">
        <v>299</v>
      </c>
      <c r="E1131">
        <v>46</v>
      </c>
      <c r="F1131">
        <v>72</v>
      </c>
      <c r="G1131">
        <v>2.4</v>
      </c>
    </row>
    <row r="1132" spans="1:7" x14ac:dyDescent="0.25">
      <c r="A1132">
        <v>2015</v>
      </c>
      <c r="B1132" t="s">
        <v>520</v>
      </c>
      <c r="C1132">
        <v>60</v>
      </c>
      <c r="D1132">
        <v>404</v>
      </c>
      <c r="E1132">
        <v>46</v>
      </c>
      <c r="F1132">
        <v>72</v>
      </c>
      <c r="G1132">
        <v>2.4700000000000002</v>
      </c>
    </row>
    <row r="1133" spans="1:7" x14ac:dyDescent="0.25">
      <c r="A1133">
        <v>2015</v>
      </c>
      <c r="B1133" t="s">
        <v>521</v>
      </c>
      <c r="C1133">
        <v>120</v>
      </c>
      <c r="D1133">
        <v>954</v>
      </c>
      <c r="E1133">
        <v>51</v>
      </c>
      <c r="F1133">
        <v>79</v>
      </c>
      <c r="G1133">
        <v>2.48</v>
      </c>
    </row>
    <row r="1134" spans="1:7" x14ac:dyDescent="0.25">
      <c r="A1134">
        <v>2015</v>
      </c>
      <c r="B1134" t="s">
        <v>523</v>
      </c>
      <c r="C1134">
        <v>40</v>
      </c>
      <c r="D1134">
        <v>136</v>
      </c>
      <c r="E1134">
        <v>33</v>
      </c>
      <c r="F1134">
        <v>64</v>
      </c>
      <c r="G1134">
        <v>2.33</v>
      </c>
    </row>
    <row r="1135" spans="1:7" x14ac:dyDescent="0.25">
      <c r="A1135">
        <v>2015</v>
      </c>
      <c r="B1135" t="s">
        <v>524</v>
      </c>
      <c r="C1135">
        <v>60</v>
      </c>
      <c r="D1135">
        <v>417</v>
      </c>
      <c r="E1135">
        <v>47</v>
      </c>
      <c r="F1135">
        <v>74</v>
      </c>
      <c r="G1135">
        <v>2.38</v>
      </c>
    </row>
    <row r="1136" spans="1:7" x14ac:dyDescent="0.25">
      <c r="A1136">
        <v>2015</v>
      </c>
      <c r="B1136" t="s">
        <v>537</v>
      </c>
      <c r="C1136">
        <v>300</v>
      </c>
      <c r="D1136">
        <v>4853</v>
      </c>
      <c r="E1136">
        <v>52</v>
      </c>
      <c r="F1136">
        <v>76</v>
      </c>
      <c r="G1136">
        <v>2.5499999999999998</v>
      </c>
    </row>
    <row r="1137" spans="1:7" x14ac:dyDescent="0.25">
      <c r="A1137">
        <v>2016</v>
      </c>
      <c r="B1137" t="s">
        <v>414</v>
      </c>
      <c r="C1137">
        <v>94</v>
      </c>
      <c r="D1137">
        <v>942</v>
      </c>
      <c r="E1137">
        <v>45</v>
      </c>
      <c r="F1137">
        <v>74</v>
      </c>
      <c r="G1137">
        <v>2.39</v>
      </c>
    </row>
    <row r="1138" spans="1:7" x14ac:dyDescent="0.25">
      <c r="A1138">
        <v>2016</v>
      </c>
      <c r="B1138" t="s">
        <v>526</v>
      </c>
      <c r="C1138">
        <v>40</v>
      </c>
      <c r="D1138">
        <v>405</v>
      </c>
      <c r="E1138">
        <v>42</v>
      </c>
      <c r="F1138">
        <v>64</v>
      </c>
      <c r="G1138">
        <v>2.7</v>
      </c>
    </row>
    <row r="1139" spans="1:7" x14ac:dyDescent="0.25">
      <c r="A1139">
        <v>2016</v>
      </c>
      <c r="B1139" t="s">
        <v>415</v>
      </c>
      <c r="C1139">
        <v>150</v>
      </c>
      <c r="D1139">
        <v>3705</v>
      </c>
      <c r="E1139">
        <v>57</v>
      </c>
      <c r="F1139">
        <v>84</v>
      </c>
      <c r="G1139">
        <v>2.54</v>
      </c>
    </row>
    <row r="1140" spans="1:7" x14ac:dyDescent="0.25">
      <c r="A1140">
        <v>2016</v>
      </c>
      <c r="B1140" t="s">
        <v>416</v>
      </c>
      <c r="C1140">
        <v>45</v>
      </c>
      <c r="D1140">
        <v>1231</v>
      </c>
      <c r="E1140">
        <v>55</v>
      </c>
      <c r="F1140">
        <v>84</v>
      </c>
      <c r="G1140">
        <v>2.4</v>
      </c>
    </row>
    <row r="1141" spans="1:7" x14ac:dyDescent="0.25">
      <c r="A1141">
        <v>2016</v>
      </c>
      <c r="B1141" t="s">
        <v>417</v>
      </c>
      <c r="C1141">
        <v>15</v>
      </c>
      <c r="D1141">
        <v>543</v>
      </c>
      <c r="E1141">
        <v>55</v>
      </c>
      <c r="F1141">
        <v>68</v>
      </c>
      <c r="G1141">
        <v>2.67</v>
      </c>
    </row>
    <row r="1142" spans="1:7" x14ac:dyDescent="0.25">
      <c r="A1142">
        <v>2016</v>
      </c>
      <c r="B1142" t="s">
        <v>418</v>
      </c>
      <c r="C1142">
        <v>10</v>
      </c>
      <c r="D1142">
        <v>129</v>
      </c>
      <c r="E1142">
        <v>47</v>
      </c>
      <c r="F1142">
        <v>63</v>
      </c>
      <c r="G1142">
        <v>2.2000000000000002</v>
      </c>
    </row>
    <row r="1143" spans="1:7" x14ac:dyDescent="0.25">
      <c r="A1143">
        <v>2016</v>
      </c>
      <c r="B1143" t="s">
        <v>419</v>
      </c>
      <c r="C1143">
        <v>30</v>
      </c>
      <c r="D1143">
        <v>144</v>
      </c>
      <c r="E1143">
        <v>46</v>
      </c>
      <c r="F1143">
        <v>71</v>
      </c>
      <c r="G1143">
        <v>2.5299999999999998</v>
      </c>
    </row>
    <row r="1144" spans="1:7" x14ac:dyDescent="0.25">
      <c r="A1144">
        <v>2016</v>
      </c>
      <c r="B1144" t="s">
        <v>420</v>
      </c>
      <c r="C1144">
        <v>35</v>
      </c>
      <c r="D1144">
        <v>163</v>
      </c>
      <c r="E1144">
        <v>39</v>
      </c>
      <c r="F1144">
        <v>68</v>
      </c>
      <c r="G1144">
        <v>2.2599999999999998</v>
      </c>
    </row>
    <row r="1145" spans="1:7" x14ac:dyDescent="0.25">
      <c r="A1145">
        <v>2016</v>
      </c>
      <c r="B1145" t="s">
        <v>421</v>
      </c>
      <c r="C1145">
        <v>40</v>
      </c>
      <c r="D1145">
        <v>378</v>
      </c>
      <c r="E1145">
        <v>43</v>
      </c>
      <c r="F1145">
        <v>68</v>
      </c>
      <c r="G1145">
        <v>2.25</v>
      </c>
    </row>
    <row r="1146" spans="1:7" x14ac:dyDescent="0.25">
      <c r="A1146">
        <v>2016</v>
      </c>
      <c r="B1146" t="s">
        <v>422</v>
      </c>
      <c r="C1146">
        <v>32</v>
      </c>
      <c r="D1146">
        <v>41</v>
      </c>
      <c r="E1146">
        <v>27</v>
      </c>
      <c r="F1146">
        <v>56</v>
      </c>
      <c r="G1146">
        <v>0.94</v>
      </c>
    </row>
    <row r="1147" spans="1:7" x14ac:dyDescent="0.25">
      <c r="A1147">
        <v>2016</v>
      </c>
      <c r="B1147" t="s">
        <v>423</v>
      </c>
      <c r="C1147">
        <v>168</v>
      </c>
      <c r="D1147">
        <v>1390</v>
      </c>
      <c r="E1147">
        <v>48</v>
      </c>
      <c r="F1147">
        <v>84</v>
      </c>
      <c r="G1147">
        <v>2.5499999999999998</v>
      </c>
    </row>
    <row r="1148" spans="1:7" x14ac:dyDescent="0.25">
      <c r="A1148">
        <v>2016</v>
      </c>
      <c r="B1148" t="s">
        <v>424</v>
      </c>
      <c r="C1148">
        <v>35</v>
      </c>
      <c r="D1148">
        <v>1351</v>
      </c>
      <c r="E1148">
        <v>60</v>
      </c>
      <c r="F1148">
        <v>80</v>
      </c>
      <c r="G1148">
        <v>2.71</v>
      </c>
    </row>
    <row r="1149" spans="1:7" x14ac:dyDescent="0.25">
      <c r="A1149">
        <v>2016</v>
      </c>
      <c r="B1149" t="s">
        <v>425</v>
      </c>
      <c r="C1149">
        <v>40</v>
      </c>
      <c r="D1149">
        <v>1043</v>
      </c>
      <c r="E1149">
        <v>53</v>
      </c>
      <c r="F1149">
        <v>76</v>
      </c>
      <c r="G1149">
        <v>2.58</v>
      </c>
    </row>
    <row r="1150" spans="1:7" x14ac:dyDescent="0.25">
      <c r="A1150">
        <v>2016</v>
      </c>
      <c r="B1150" t="s">
        <v>426</v>
      </c>
      <c r="C1150">
        <v>448</v>
      </c>
      <c r="D1150">
        <v>10962</v>
      </c>
      <c r="E1150">
        <v>59</v>
      </c>
      <c r="F1150">
        <v>87</v>
      </c>
      <c r="G1150">
        <v>2.58</v>
      </c>
    </row>
    <row r="1151" spans="1:7" x14ac:dyDescent="0.25">
      <c r="A1151">
        <v>2016</v>
      </c>
      <c r="B1151" t="s">
        <v>427</v>
      </c>
      <c r="C1151">
        <v>590</v>
      </c>
      <c r="D1151">
        <v>5745</v>
      </c>
      <c r="E1151">
        <v>52</v>
      </c>
      <c r="F1151">
        <v>82</v>
      </c>
      <c r="G1151">
        <v>2.46</v>
      </c>
    </row>
    <row r="1152" spans="1:7" x14ac:dyDescent="0.25">
      <c r="A1152">
        <v>2016</v>
      </c>
      <c r="B1152" t="s">
        <v>428</v>
      </c>
      <c r="C1152">
        <v>63</v>
      </c>
      <c r="D1152">
        <v>373</v>
      </c>
      <c r="E1152">
        <v>42</v>
      </c>
      <c r="F1152">
        <v>73</v>
      </c>
      <c r="G1152">
        <v>2.4300000000000002</v>
      </c>
    </row>
    <row r="1153" spans="1:7" x14ac:dyDescent="0.25">
      <c r="A1153">
        <v>2016</v>
      </c>
      <c r="B1153" t="s">
        <v>429</v>
      </c>
      <c r="C1153">
        <v>40</v>
      </c>
      <c r="D1153">
        <v>299</v>
      </c>
      <c r="E1153">
        <v>47</v>
      </c>
      <c r="F1153">
        <v>71</v>
      </c>
      <c r="G1153">
        <v>2.4300000000000002</v>
      </c>
    </row>
    <row r="1154" spans="1:7" x14ac:dyDescent="0.25">
      <c r="A1154">
        <v>2016</v>
      </c>
      <c r="B1154" t="s">
        <v>430</v>
      </c>
      <c r="C1154">
        <v>40</v>
      </c>
      <c r="D1154">
        <v>465</v>
      </c>
      <c r="E1154">
        <v>54</v>
      </c>
      <c r="F1154">
        <v>81</v>
      </c>
      <c r="G1154">
        <v>2.5299999999999998</v>
      </c>
    </row>
    <row r="1155" spans="1:7" x14ac:dyDescent="0.25">
      <c r="A1155">
        <v>2016</v>
      </c>
      <c r="B1155" t="s">
        <v>431</v>
      </c>
      <c r="C1155">
        <v>15</v>
      </c>
      <c r="D1155">
        <v>211</v>
      </c>
      <c r="E1155">
        <v>52</v>
      </c>
      <c r="F1155">
        <v>72</v>
      </c>
      <c r="G1155">
        <v>2.4</v>
      </c>
    </row>
    <row r="1156" spans="1:7" x14ac:dyDescent="0.25">
      <c r="A1156">
        <v>2016</v>
      </c>
      <c r="B1156" t="s">
        <v>432</v>
      </c>
      <c r="C1156">
        <v>136</v>
      </c>
      <c r="D1156">
        <v>940</v>
      </c>
      <c r="E1156">
        <v>45</v>
      </c>
      <c r="F1156">
        <v>78</v>
      </c>
      <c r="G1156">
        <v>2.63</v>
      </c>
    </row>
    <row r="1157" spans="1:7" x14ac:dyDescent="0.25">
      <c r="A1157">
        <v>2016</v>
      </c>
      <c r="B1157" t="s">
        <v>433</v>
      </c>
      <c r="C1157">
        <v>136</v>
      </c>
      <c r="D1157">
        <v>727</v>
      </c>
      <c r="E1157">
        <v>43</v>
      </c>
      <c r="F1157">
        <v>68</v>
      </c>
      <c r="G1157">
        <v>2.35</v>
      </c>
    </row>
    <row r="1158" spans="1:7" x14ac:dyDescent="0.25">
      <c r="A1158">
        <v>2016</v>
      </c>
      <c r="B1158" t="s">
        <v>434</v>
      </c>
      <c r="C1158">
        <v>84</v>
      </c>
      <c r="D1158">
        <v>529</v>
      </c>
      <c r="E1158">
        <v>39</v>
      </c>
      <c r="F1158">
        <v>71</v>
      </c>
      <c r="G1158">
        <v>2.31</v>
      </c>
    </row>
    <row r="1159" spans="1:7" x14ac:dyDescent="0.25">
      <c r="A1159">
        <v>2016</v>
      </c>
      <c r="B1159" t="s">
        <v>435</v>
      </c>
      <c r="C1159">
        <v>32</v>
      </c>
      <c r="D1159">
        <v>123</v>
      </c>
      <c r="E1159">
        <v>34</v>
      </c>
      <c r="F1159">
        <v>64</v>
      </c>
      <c r="G1159">
        <v>2.41</v>
      </c>
    </row>
    <row r="1160" spans="1:7" x14ac:dyDescent="0.25">
      <c r="A1160">
        <v>2016</v>
      </c>
      <c r="B1160" t="s">
        <v>436</v>
      </c>
      <c r="C1160">
        <v>84</v>
      </c>
      <c r="D1160">
        <v>581</v>
      </c>
      <c r="E1160">
        <v>43</v>
      </c>
      <c r="F1160">
        <v>70</v>
      </c>
      <c r="G1160">
        <v>2.44</v>
      </c>
    </row>
    <row r="1161" spans="1:7" x14ac:dyDescent="0.25">
      <c r="A1161">
        <v>2016</v>
      </c>
      <c r="B1161" t="s">
        <v>437</v>
      </c>
      <c r="C1161">
        <v>216</v>
      </c>
      <c r="D1161">
        <v>1941</v>
      </c>
      <c r="E1161">
        <v>48</v>
      </c>
      <c r="F1161">
        <v>74</v>
      </c>
      <c r="G1161">
        <v>2.62</v>
      </c>
    </row>
    <row r="1162" spans="1:7" x14ac:dyDescent="0.25">
      <c r="A1162">
        <v>2016</v>
      </c>
      <c r="B1162" t="s">
        <v>438</v>
      </c>
      <c r="C1162">
        <v>60</v>
      </c>
      <c r="D1162">
        <v>2012</v>
      </c>
      <c r="E1162">
        <v>56</v>
      </c>
      <c r="F1162">
        <v>86</v>
      </c>
      <c r="G1162">
        <v>2.5299999999999998</v>
      </c>
    </row>
    <row r="1163" spans="1:7" x14ac:dyDescent="0.25">
      <c r="A1163">
        <v>2016</v>
      </c>
      <c r="B1163" t="s">
        <v>439</v>
      </c>
      <c r="C1163">
        <v>84</v>
      </c>
      <c r="D1163">
        <v>295</v>
      </c>
      <c r="E1163">
        <v>31</v>
      </c>
      <c r="F1163">
        <v>60</v>
      </c>
      <c r="G1163">
        <v>2.21</v>
      </c>
    </row>
    <row r="1164" spans="1:7" x14ac:dyDescent="0.25">
      <c r="A1164">
        <v>2016</v>
      </c>
      <c r="B1164" t="s">
        <v>440</v>
      </c>
      <c r="C1164">
        <v>30</v>
      </c>
      <c r="D1164">
        <v>132</v>
      </c>
      <c r="E1164">
        <v>41</v>
      </c>
      <c r="F1164">
        <v>71</v>
      </c>
      <c r="G1164">
        <v>2.33</v>
      </c>
    </row>
    <row r="1165" spans="1:7" x14ac:dyDescent="0.25">
      <c r="A1165">
        <v>2016</v>
      </c>
      <c r="B1165" t="s">
        <v>441</v>
      </c>
      <c r="C1165">
        <v>679</v>
      </c>
      <c r="D1165">
        <v>3318</v>
      </c>
      <c r="E1165">
        <v>41</v>
      </c>
      <c r="F1165">
        <v>74</v>
      </c>
      <c r="G1165">
        <v>2.35</v>
      </c>
    </row>
    <row r="1166" spans="1:7" x14ac:dyDescent="0.25">
      <c r="A1166">
        <v>2016</v>
      </c>
      <c r="B1166" t="s">
        <v>442</v>
      </c>
      <c r="C1166">
        <v>84</v>
      </c>
      <c r="D1166">
        <v>802</v>
      </c>
      <c r="E1166">
        <v>43</v>
      </c>
      <c r="F1166">
        <v>62</v>
      </c>
      <c r="G1166">
        <v>2.4</v>
      </c>
    </row>
    <row r="1167" spans="1:7" x14ac:dyDescent="0.25">
      <c r="A1167">
        <v>2016</v>
      </c>
      <c r="B1167" t="s">
        <v>443</v>
      </c>
      <c r="C1167">
        <v>35</v>
      </c>
      <c r="D1167">
        <v>119</v>
      </c>
      <c r="E1167">
        <v>39</v>
      </c>
      <c r="F1167">
        <v>65</v>
      </c>
      <c r="G1167">
        <v>2.34</v>
      </c>
    </row>
    <row r="1168" spans="1:7" x14ac:dyDescent="0.25">
      <c r="A1168">
        <v>2016</v>
      </c>
      <c r="B1168" t="s">
        <v>444</v>
      </c>
      <c r="C1168">
        <v>30</v>
      </c>
      <c r="D1168">
        <v>51</v>
      </c>
      <c r="E1168">
        <v>27</v>
      </c>
      <c r="F1168">
        <v>69</v>
      </c>
      <c r="G1168">
        <v>1.33</v>
      </c>
    </row>
    <row r="1169" spans="1:7" x14ac:dyDescent="0.25">
      <c r="A1169">
        <v>2016</v>
      </c>
      <c r="B1169" t="s">
        <v>445</v>
      </c>
      <c r="C1169">
        <v>126</v>
      </c>
      <c r="D1169">
        <v>1009</v>
      </c>
      <c r="E1169">
        <v>42</v>
      </c>
      <c r="F1169">
        <v>72</v>
      </c>
      <c r="G1169">
        <v>2.2200000000000002</v>
      </c>
    </row>
    <row r="1170" spans="1:7" x14ac:dyDescent="0.25">
      <c r="A1170">
        <v>2016</v>
      </c>
      <c r="B1170" t="s">
        <v>446</v>
      </c>
      <c r="C1170">
        <v>40</v>
      </c>
      <c r="D1170">
        <v>456</v>
      </c>
      <c r="E1170">
        <v>43</v>
      </c>
      <c r="F1170">
        <v>71</v>
      </c>
      <c r="G1170">
        <v>2.25</v>
      </c>
    </row>
    <row r="1171" spans="1:7" x14ac:dyDescent="0.25">
      <c r="A1171">
        <v>2016</v>
      </c>
      <c r="B1171" t="s">
        <v>447</v>
      </c>
      <c r="C1171">
        <v>50</v>
      </c>
      <c r="D1171">
        <v>1726</v>
      </c>
      <c r="E1171">
        <v>52</v>
      </c>
      <c r="F1171">
        <v>76</v>
      </c>
      <c r="G1171">
        <v>2.56</v>
      </c>
    </row>
    <row r="1172" spans="1:7" x14ac:dyDescent="0.25">
      <c r="A1172">
        <v>2016</v>
      </c>
      <c r="B1172" t="s">
        <v>448</v>
      </c>
      <c r="C1172">
        <v>48</v>
      </c>
      <c r="D1172">
        <v>2068</v>
      </c>
      <c r="E1172">
        <v>60</v>
      </c>
      <c r="F1172">
        <v>87</v>
      </c>
      <c r="G1172">
        <v>2.42</v>
      </c>
    </row>
    <row r="1173" spans="1:7" x14ac:dyDescent="0.25">
      <c r="A1173">
        <v>2016</v>
      </c>
      <c r="B1173" t="s">
        <v>449</v>
      </c>
      <c r="C1173">
        <v>50</v>
      </c>
      <c r="D1173">
        <v>723</v>
      </c>
      <c r="E1173">
        <v>47</v>
      </c>
      <c r="F1173">
        <v>69</v>
      </c>
      <c r="G1173">
        <v>2.52</v>
      </c>
    </row>
    <row r="1174" spans="1:7" x14ac:dyDescent="0.25">
      <c r="A1174">
        <v>2016</v>
      </c>
      <c r="B1174" t="s">
        <v>450</v>
      </c>
      <c r="C1174">
        <v>42</v>
      </c>
      <c r="D1174">
        <v>475</v>
      </c>
      <c r="E1174">
        <v>43</v>
      </c>
      <c r="F1174">
        <v>77</v>
      </c>
      <c r="G1174">
        <v>2.21</v>
      </c>
    </row>
    <row r="1175" spans="1:7" x14ac:dyDescent="0.25">
      <c r="A1175">
        <v>2016</v>
      </c>
      <c r="B1175" t="s">
        <v>451</v>
      </c>
      <c r="C1175">
        <v>30</v>
      </c>
      <c r="D1175">
        <v>212</v>
      </c>
      <c r="E1175">
        <v>38</v>
      </c>
      <c r="F1175">
        <v>65</v>
      </c>
      <c r="G1175">
        <v>2.4700000000000002</v>
      </c>
    </row>
    <row r="1176" spans="1:7" x14ac:dyDescent="0.25">
      <c r="A1176">
        <v>2016</v>
      </c>
      <c r="B1176" t="s">
        <v>529</v>
      </c>
      <c r="C1176">
        <v>300</v>
      </c>
      <c r="D1176">
        <v>5005</v>
      </c>
      <c r="E1176">
        <v>47</v>
      </c>
      <c r="F1176">
        <v>74</v>
      </c>
      <c r="G1176">
        <v>2.46</v>
      </c>
    </row>
    <row r="1177" spans="1:7" x14ac:dyDescent="0.25">
      <c r="A1177">
        <v>2016</v>
      </c>
      <c r="B1177" t="s">
        <v>453</v>
      </c>
      <c r="C1177">
        <v>102</v>
      </c>
      <c r="D1177">
        <v>1582</v>
      </c>
      <c r="E1177">
        <v>54</v>
      </c>
      <c r="F1177">
        <v>79</v>
      </c>
      <c r="G1177">
        <v>2.38</v>
      </c>
    </row>
    <row r="1178" spans="1:7" x14ac:dyDescent="0.25">
      <c r="A1178">
        <v>2016</v>
      </c>
      <c r="B1178" t="s">
        <v>454</v>
      </c>
      <c r="C1178">
        <v>30</v>
      </c>
      <c r="D1178">
        <v>248</v>
      </c>
      <c r="E1178">
        <v>44</v>
      </c>
      <c r="F1178">
        <v>62</v>
      </c>
      <c r="G1178">
        <v>2.63</v>
      </c>
    </row>
    <row r="1179" spans="1:7" x14ac:dyDescent="0.25">
      <c r="A1179">
        <v>2016</v>
      </c>
      <c r="B1179" t="s">
        <v>455</v>
      </c>
      <c r="C1179">
        <v>60</v>
      </c>
      <c r="D1179">
        <v>603</v>
      </c>
      <c r="E1179">
        <v>48</v>
      </c>
      <c r="F1179">
        <v>86</v>
      </c>
      <c r="G1179">
        <v>2.52</v>
      </c>
    </row>
    <row r="1180" spans="1:7" x14ac:dyDescent="0.25">
      <c r="A1180">
        <v>2016</v>
      </c>
      <c r="B1180" t="s">
        <v>456</v>
      </c>
      <c r="C1180">
        <v>34</v>
      </c>
      <c r="D1180">
        <v>1059</v>
      </c>
      <c r="E1180">
        <v>59</v>
      </c>
      <c r="F1180">
        <v>83</v>
      </c>
      <c r="G1180">
        <v>2.5</v>
      </c>
    </row>
    <row r="1181" spans="1:7" x14ac:dyDescent="0.25">
      <c r="A1181">
        <v>2016</v>
      </c>
      <c r="B1181" t="s">
        <v>530</v>
      </c>
      <c r="C1181">
        <v>22</v>
      </c>
      <c r="D1181">
        <v>430</v>
      </c>
      <c r="E1181">
        <v>53</v>
      </c>
      <c r="F1181">
        <v>79</v>
      </c>
      <c r="G1181">
        <v>2.36</v>
      </c>
    </row>
    <row r="1182" spans="1:7" x14ac:dyDescent="0.25">
      <c r="A1182">
        <v>2016</v>
      </c>
      <c r="B1182" t="s">
        <v>458</v>
      </c>
      <c r="C1182">
        <v>40</v>
      </c>
      <c r="D1182">
        <v>123</v>
      </c>
      <c r="E1182">
        <v>31</v>
      </c>
      <c r="F1182">
        <v>69</v>
      </c>
      <c r="G1182">
        <v>2.23</v>
      </c>
    </row>
    <row r="1183" spans="1:7" x14ac:dyDescent="0.25">
      <c r="A1183">
        <v>2016</v>
      </c>
      <c r="B1183" t="s">
        <v>459</v>
      </c>
      <c r="C1183">
        <v>80</v>
      </c>
      <c r="D1183">
        <v>730</v>
      </c>
      <c r="E1183">
        <v>41</v>
      </c>
      <c r="F1183">
        <v>67</v>
      </c>
      <c r="G1183">
        <v>2.2799999999999998</v>
      </c>
    </row>
    <row r="1184" spans="1:7" x14ac:dyDescent="0.25">
      <c r="A1184">
        <v>2016</v>
      </c>
      <c r="B1184" t="s">
        <v>531</v>
      </c>
      <c r="C1184">
        <v>48</v>
      </c>
      <c r="D1184">
        <v>376</v>
      </c>
      <c r="E1184">
        <v>38</v>
      </c>
      <c r="F1184">
        <v>57</v>
      </c>
      <c r="G1184">
        <v>2.25</v>
      </c>
    </row>
    <row r="1185" spans="1:7" x14ac:dyDescent="0.25">
      <c r="A1185">
        <v>2016</v>
      </c>
      <c r="B1185" t="s">
        <v>532</v>
      </c>
      <c r="C1185">
        <v>42</v>
      </c>
      <c r="D1185">
        <v>213</v>
      </c>
      <c r="E1185">
        <v>34</v>
      </c>
      <c r="F1185">
        <v>60</v>
      </c>
      <c r="G1185">
        <v>2.0699999999999998</v>
      </c>
    </row>
    <row r="1186" spans="1:7" x14ac:dyDescent="0.25">
      <c r="A1186">
        <v>2016</v>
      </c>
      <c r="B1186" t="s">
        <v>461</v>
      </c>
      <c r="C1186">
        <v>64</v>
      </c>
      <c r="D1186">
        <v>732</v>
      </c>
      <c r="E1186">
        <v>44</v>
      </c>
      <c r="F1186">
        <v>74</v>
      </c>
      <c r="G1186">
        <v>2.16</v>
      </c>
    </row>
    <row r="1187" spans="1:7" x14ac:dyDescent="0.25">
      <c r="A1187">
        <v>2016</v>
      </c>
      <c r="B1187" t="s">
        <v>462</v>
      </c>
      <c r="C1187">
        <v>117</v>
      </c>
      <c r="D1187">
        <v>690</v>
      </c>
      <c r="E1187">
        <v>38</v>
      </c>
      <c r="F1187">
        <v>68</v>
      </c>
      <c r="G1187">
        <v>2.37</v>
      </c>
    </row>
    <row r="1188" spans="1:7" x14ac:dyDescent="0.25">
      <c r="A1188">
        <v>2016</v>
      </c>
      <c r="B1188" t="s">
        <v>538</v>
      </c>
      <c r="C1188">
        <v>160</v>
      </c>
      <c r="D1188">
        <v>1256</v>
      </c>
      <c r="E1188">
        <v>43</v>
      </c>
      <c r="F1188">
        <v>75</v>
      </c>
      <c r="G1188">
        <v>2.4</v>
      </c>
    </row>
    <row r="1189" spans="1:7" x14ac:dyDescent="0.25">
      <c r="A1189">
        <v>2016</v>
      </c>
      <c r="B1189" t="s">
        <v>539</v>
      </c>
      <c r="C1189">
        <v>32</v>
      </c>
      <c r="D1189">
        <v>184</v>
      </c>
      <c r="E1189">
        <v>40</v>
      </c>
      <c r="F1189">
        <v>70</v>
      </c>
      <c r="G1189">
        <v>2.2799999999999998</v>
      </c>
    </row>
    <row r="1190" spans="1:7" x14ac:dyDescent="0.25">
      <c r="A1190">
        <v>2016</v>
      </c>
      <c r="B1190" t="s">
        <v>465</v>
      </c>
      <c r="C1190">
        <v>120</v>
      </c>
      <c r="D1190">
        <v>1147</v>
      </c>
      <c r="E1190">
        <v>50</v>
      </c>
      <c r="F1190">
        <v>80</v>
      </c>
      <c r="G1190">
        <v>2.57</v>
      </c>
    </row>
    <row r="1191" spans="1:7" x14ac:dyDescent="0.25">
      <c r="A1191">
        <v>2016</v>
      </c>
      <c r="B1191" t="s">
        <v>466</v>
      </c>
      <c r="C1191">
        <v>75</v>
      </c>
      <c r="D1191">
        <v>433</v>
      </c>
      <c r="E1191">
        <v>41</v>
      </c>
      <c r="F1191">
        <v>77</v>
      </c>
      <c r="G1191">
        <v>2.4900000000000002</v>
      </c>
    </row>
    <row r="1192" spans="1:7" x14ac:dyDescent="0.25">
      <c r="A1192">
        <v>2016</v>
      </c>
      <c r="B1192" t="s">
        <v>467</v>
      </c>
      <c r="C1192">
        <v>25</v>
      </c>
      <c r="D1192">
        <v>594</v>
      </c>
      <c r="E1192">
        <v>48</v>
      </c>
      <c r="F1192">
        <v>71</v>
      </c>
      <c r="G1192">
        <v>2.2000000000000002</v>
      </c>
    </row>
    <row r="1193" spans="1:7" x14ac:dyDescent="0.25">
      <c r="A1193">
        <v>2016</v>
      </c>
      <c r="B1193" t="s">
        <v>468</v>
      </c>
      <c r="C1193">
        <v>36</v>
      </c>
      <c r="D1193">
        <v>460</v>
      </c>
      <c r="E1193">
        <v>43</v>
      </c>
      <c r="F1193">
        <v>72</v>
      </c>
      <c r="G1193">
        <v>2.42</v>
      </c>
    </row>
    <row r="1194" spans="1:7" x14ac:dyDescent="0.25">
      <c r="A1194">
        <v>2016</v>
      </c>
      <c r="B1194" t="s">
        <v>469</v>
      </c>
      <c r="C1194">
        <v>25</v>
      </c>
      <c r="D1194">
        <v>155</v>
      </c>
      <c r="E1194">
        <v>37</v>
      </c>
      <c r="F1194">
        <v>70</v>
      </c>
      <c r="G1194">
        <v>2.4</v>
      </c>
    </row>
    <row r="1195" spans="1:7" x14ac:dyDescent="0.25">
      <c r="A1195">
        <v>2016</v>
      </c>
      <c r="B1195" t="s">
        <v>470</v>
      </c>
      <c r="C1195">
        <v>28</v>
      </c>
      <c r="D1195">
        <v>98</v>
      </c>
      <c r="E1195">
        <v>32</v>
      </c>
      <c r="F1195">
        <v>60</v>
      </c>
      <c r="G1195">
        <v>2.25</v>
      </c>
    </row>
    <row r="1196" spans="1:7" x14ac:dyDescent="0.25">
      <c r="A1196">
        <v>2016</v>
      </c>
      <c r="B1196" t="s">
        <v>471</v>
      </c>
      <c r="C1196">
        <v>27</v>
      </c>
      <c r="D1196">
        <v>179</v>
      </c>
      <c r="E1196">
        <v>37</v>
      </c>
      <c r="F1196">
        <v>65</v>
      </c>
      <c r="G1196">
        <v>2.2200000000000002</v>
      </c>
    </row>
    <row r="1197" spans="1:7" x14ac:dyDescent="0.25">
      <c r="A1197">
        <v>2016</v>
      </c>
      <c r="B1197" t="s">
        <v>472</v>
      </c>
      <c r="C1197">
        <v>42</v>
      </c>
      <c r="D1197">
        <v>370</v>
      </c>
      <c r="E1197">
        <v>40</v>
      </c>
      <c r="F1197">
        <v>65</v>
      </c>
      <c r="G1197">
        <v>2.17</v>
      </c>
    </row>
    <row r="1198" spans="1:7" x14ac:dyDescent="0.25">
      <c r="A1198">
        <v>2016</v>
      </c>
      <c r="B1198" t="s">
        <v>473</v>
      </c>
      <c r="C1198">
        <v>295</v>
      </c>
      <c r="D1198">
        <v>17331</v>
      </c>
      <c r="E1198">
        <v>73</v>
      </c>
      <c r="F1198">
        <v>90</v>
      </c>
      <c r="G1198">
        <v>2.59</v>
      </c>
    </row>
    <row r="1199" spans="1:7" x14ac:dyDescent="0.25">
      <c r="A1199">
        <v>2016</v>
      </c>
      <c r="B1199" t="s">
        <v>533</v>
      </c>
      <c r="C1199">
        <v>90</v>
      </c>
      <c r="D1199">
        <v>6474</v>
      </c>
      <c r="E1199">
        <v>72</v>
      </c>
      <c r="F1199">
        <v>89</v>
      </c>
      <c r="G1199">
        <v>3.19</v>
      </c>
    </row>
    <row r="1200" spans="1:7" x14ac:dyDescent="0.25">
      <c r="A1200">
        <v>2016</v>
      </c>
      <c r="B1200" t="s">
        <v>475</v>
      </c>
      <c r="C1200">
        <v>72</v>
      </c>
      <c r="D1200">
        <v>2396</v>
      </c>
      <c r="E1200">
        <v>54</v>
      </c>
      <c r="F1200">
        <v>79</v>
      </c>
      <c r="G1200">
        <v>2.36</v>
      </c>
    </row>
    <row r="1201" spans="1:7" x14ac:dyDescent="0.25">
      <c r="A1201">
        <v>2016</v>
      </c>
      <c r="B1201" t="s">
        <v>476</v>
      </c>
      <c r="C1201">
        <v>48</v>
      </c>
      <c r="D1201">
        <v>981</v>
      </c>
      <c r="E1201">
        <v>50</v>
      </c>
      <c r="F1201">
        <v>69</v>
      </c>
      <c r="G1201">
        <v>2.33</v>
      </c>
    </row>
    <row r="1202" spans="1:7" x14ac:dyDescent="0.25">
      <c r="A1202">
        <v>2016</v>
      </c>
      <c r="B1202" t="s">
        <v>477</v>
      </c>
      <c r="C1202">
        <v>64</v>
      </c>
      <c r="D1202">
        <v>1209</v>
      </c>
      <c r="E1202">
        <v>47</v>
      </c>
      <c r="F1202">
        <v>70</v>
      </c>
      <c r="G1202">
        <v>2.16</v>
      </c>
    </row>
    <row r="1203" spans="1:7" x14ac:dyDescent="0.25">
      <c r="A1203">
        <v>2016</v>
      </c>
      <c r="B1203" t="s">
        <v>478</v>
      </c>
      <c r="C1203">
        <v>27</v>
      </c>
      <c r="D1203">
        <v>396</v>
      </c>
      <c r="E1203">
        <v>47</v>
      </c>
      <c r="F1203">
        <v>70</v>
      </c>
      <c r="G1203">
        <v>2.2200000000000002</v>
      </c>
    </row>
    <row r="1204" spans="1:7" x14ac:dyDescent="0.25">
      <c r="A1204">
        <v>2016</v>
      </c>
      <c r="B1204" t="s">
        <v>479</v>
      </c>
      <c r="C1204">
        <v>42</v>
      </c>
      <c r="D1204">
        <v>361</v>
      </c>
      <c r="E1204">
        <v>41</v>
      </c>
      <c r="F1204">
        <v>70</v>
      </c>
      <c r="G1204">
        <v>2.14</v>
      </c>
    </row>
    <row r="1205" spans="1:7" x14ac:dyDescent="0.25">
      <c r="A1205">
        <v>2016</v>
      </c>
      <c r="B1205" t="s">
        <v>480</v>
      </c>
      <c r="C1205">
        <v>133</v>
      </c>
      <c r="D1205">
        <v>1498</v>
      </c>
      <c r="E1205">
        <v>46</v>
      </c>
      <c r="F1205">
        <v>69</v>
      </c>
      <c r="G1205">
        <v>2.29</v>
      </c>
    </row>
    <row r="1206" spans="1:7" x14ac:dyDescent="0.25">
      <c r="A1206">
        <v>2016</v>
      </c>
      <c r="B1206" t="s">
        <v>481</v>
      </c>
      <c r="C1206">
        <v>50</v>
      </c>
      <c r="D1206">
        <v>490</v>
      </c>
      <c r="E1206">
        <v>43</v>
      </c>
      <c r="F1206">
        <v>69</v>
      </c>
      <c r="G1206">
        <v>2.54</v>
      </c>
    </row>
    <row r="1207" spans="1:7" x14ac:dyDescent="0.25">
      <c r="A1207">
        <v>2016</v>
      </c>
      <c r="B1207" t="s">
        <v>482</v>
      </c>
      <c r="C1207">
        <v>72</v>
      </c>
      <c r="D1207">
        <v>903</v>
      </c>
      <c r="E1207">
        <v>46</v>
      </c>
      <c r="F1207">
        <v>71</v>
      </c>
      <c r="G1207">
        <v>2.21</v>
      </c>
    </row>
    <row r="1208" spans="1:7" x14ac:dyDescent="0.25">
      <c r="A1208">
        <v>2016</v>
      </c>
      <c r="B1208" t="s">
        <v>483</v>
      </c>
      <c r="C1208">
        <v>49</v>
      </c>
      <c r="D1208">
        <v>2930</v>
      </c>
      <c r="E1208">
        <v>62</v>
      </c>
      <c r="F1208">
        <v>88</v>
      </c>
      <c r="G1208">
        <v>2.57</v>
      </c>
    </row>
    <row r="1209" spans="1:7" x14ac:dyDescent="0.25">
      <c r="A1209">
        <v>2016</v>
      </c>
      <c r="B1209" t="s">
        <v>484</v>
      </c>
      <c r="C1209">
        <v>32</v>
      </c>
      <c r="D1209">
        <v>1205</v>
      </c>
      <c r="E1209">
        <v>57</v>
      </c>
      <c r="F1209">
        <v>77</v>
      </c>
      <c r="G1209">
        <v>2.34</v>
      </c>
    </row>
    <row r="1210" spans="1:7" x14ac:dyDescent="0.25">
      <c r="A1210">
        <v>2016</v>
      </c>
      <c r="B1210" t="s">
        <v>485</v>
      </c>
      <c r="C1210">
        <v>32</v>
      </c>
      <c r="D1210">
        <v>62</v>
      </c>
      <c r="E1210">
        <v>27</v>
      </c>
      <c r="F1210">
        <v>66</v>
      </c>
      <c r="G1210">
        <v>1.47</v>
      </c>
    </row>
    <row r="1211" spans="1:7" x14ac:dyDescent="0.25">
      <c r="A1211">
        <v>2016</v>
      </c>
      <c r="B1211" t="s">
        <v>486</v>
      </c>
      <c r="C1211">
        <v>25</v>
      </c>
      <c r="D1211">
        <v>176</v>
      </c>
      <c r="E1211">
        <v>39</v>
      </c>
      <c r="F1211">
        <v>60</v>
      </c>
      <c r="G1211">
        <v>2.3199999999999998</v>
      </c>
    </row>
    <row r="1212" spans="1:7" x14ac:dyDescent="0.25">
      <c r="A1212">
        <v>2016</v>
      </c>
      <c r="B1212" t="s">
        <v>487</v>
      </c>
      <c r="C1212">
        <v>18</v>
      </c>
      <c r="D1212">
        <v>115</v>
      </c>
      <c r="E1212">
        <v>35</v>
      </c>
      <c r="F1212">
        <v>56</v>
      </c>
      <c r="G1212">
        <v>2.5</v>
      </c>
    </row>
    <row r="1213" spans="1:7" x14ac:dyDescent="0.25">
      <c r="A1213">
        <v>2016</v>
      </c>
      <c r="B1213" t="s">
        <v>488</v>
      </c>
      <c r="C1213">
        <v>32</v>
      </c>
      <c r="D1213">
        <v>264</v>
      </c>
      <c r="E1213">
        <v>38</v>
      </c>
      <c r="F1213">
        <v>65</v>
      </c>
      <c r="G1213">
        <v>2.25</v>
      </c>
    </row>
    <row r="1214" spans="1:7" x14ac:dyDescent="0.25">
      <c r="A1214">
        <v>2016</v>
      </c>
      <c r="B1214" t="s">
        <v>534</v>
      </c>
      <c r="C1214">
        <v>300</v>
      </c>
      <c r="D1214">
        <v>4708</v>
      </c>
      <c r="E1214">
        <v>48</v>
      </c>
      <c r="F1214">
        <v>83</v>
      </c>
      <c r="G1214">
        <v>2.41</v>
      </c>
    </row>
    <row r="1215" spans="1:7" x14ac:dyDescent="0.25">
      <c r="A1215">
        <v>2016</v>
      </c>
      <c r="B1215" t="s">
        <v>490</v>
      </c>
      <c r="C1215">
        <v>32</v>
      </c>
      <c r="D1215">
        <v>199</v>
      </c>
      <c r="E1215">
        <v>47</v>
      </c>
      <c r="F1215">
        <v>78</v>
      </c>
      <c r="G1215">
        <v>2.63</v>
      </c>
    </row>
    <row r="1216" spans="1:7" x14ac:dyDescent="0.25">
      <c r="A1216">
        <v>2016</v>
      </c>
      <c r="B1216" t="s">
        <v>491</v>
      </c>
      <c r="C1216">
        <v>84</v>
      </c>
      <c r="D1216">
        <v>282</v>
      </c>
      <c r="E1216">
        <v>31</v>
      </c>
      <c r="F1216">
        <v>70</v>
      </c>
      <c r="G1216">
        <v>2.2400000000000002</v>
      </c>
    </row>
    <row r="1217" spans="1:7" x14ac:dyDescent="0.25">
      <c r="A1217">
        <v>2016</v>
      </c>
      <c r="B1217" t="s">
        <v>492</v>
      </c>
      <c r="C1217">
        <v>246</v>
      </c>
      <c r="D1217">
        <v>2763</v>
      </c>
      <c r="E1217">
        <v>51</v>
      </c>
      <c r="F1217">
        <v>83</v>
      </c>
      <c r="G1217">
        <v>2.46</v>
      </c>
    </row>
    <row r="1218" spans="1:7" x14ac:dyDescent="0.25">
      <c r="A1218">
        <v>2016</v>
      </c>
      <c r="B1218" t="s">
        <v>493</v>
      </c>
      <c r="C1218">
        <v>40</v>
      </c>
      <c r="D1218">
        <v>1052</v>
      </c>
      <c r="E1218">
        <v>67</v>
      </c>
      <c r="F1218">
        <v>89</v>
      </c>
      <c r="G1218">
        <v>2.78</v>
      </c>
    </row>
    <row r="1219" spans="1:7" x14ac:dyDescent="0.25">
      <c r="A1219">
        <v>2016</v>
      </c>
      <c r="B1219" t="s">
        <v>494</v>
      </c>
      <c r="C1219">
        <v>30</v>
      </c>
      <c r="D1219">
        <v>192</v>
      </c>
      <c r="E1219">
        <v>40</v>
      </c>
      <c r="F1219">
        <v>57</v>
      </c>
      <c r="G1219">
        <v>2.33</v>
      </c>
    </row>
    <row r="1220" spans="1:7" x14ac:dyDescent="0.25">
      <c r="A1220">
        <v>2016</v>
      </c>
      <c r="B1220" t="s">
        <v>495</v>
      </c>
      <c r="C1220">
        <v>40</v>
      </c>
      <c r="D1220">
        <v>383</v>
      </c>
      <c r="E1220">
        <v>49</v>
      </c>
      <c r="F1220">
        <v>71</v>
      </c>
      <c r="G1220">
        <v>2.35</v>
      </c>
    </row>
    <row r="1221" spans="1:7" x14ac:dyDescent="0.25">
      <c r="A1221">
        <v>2016</v>
      </c>
      <c r="B1221" t="s">
        <v>496</v>
      </c>
      <c r="C1221">
        <v>30</v>
      </c>
      <c r="D1221">
        <v>206</v>
      </c>
      <c r="E1221">
        <v>47</v>
      </c>
      <c r="F1221">
        <v>70</v>
      </c>
      <c r="G1221">
        <v>2.6</v>
      </c>
    </row>
    <row r="1222" spans="1:7" x14ac:dyDescent="0.25">
      <c r="A1222">
        <v>2016</v>
      </c>
      <c r="B1222" t="s">
        <v>497</v>
      </c>
      <c r="C1222">
        <v>60</v>
      </c>
      <c r="D1222">
        <v>2018</v>
      </c>
      <c r="E1222">
        <v>60</v>
      </c>
      <c r="F1222">
        <v>80</v>
      </c>
      <c r="G1222">
        <v>2.37</v>
      </c>
    </row>
    <row r="1223" spans="1:7" x14ac:dyDescent="0.25">
      <c r="A1223">
        <v>2016</v>
      </c>
      <c r="B1223" t="s">
        <v>498</v>
      </c>
      <c r="C1223">
        <v>80</v>
      </c>
      <c r="D1223">
        <v>511</v>
      </c>
      <c r="E1223">
        <v>43</v>
      </c>
      <c r="F1223">
        <v>67</v>
      </c>
      <c r="G1223">
        <v>2.54</v>
      </c>
    </row>
    <row r="1224" spans="1:7" x14ac:dyDescent="0.25">
      <c r="A1224">
        <v>2016</v>
      </c>
      <c r="B1224" t="s">
        <v>499</v>
      </c>
      <c r="C1224">
        <v>48</v>
      </c>
      <c r="D1224">
        <v>376</v>
      </c>
      <c r="E1224">
        <v>41</v>
      </c>
      <c r="F1224">
        <v>64</v>
      </c>
      <c r="G1224">
        <v>2.38</v>
      </c>
    </row>
    <row r="1225" spans="1:7" x14ac:dyDescent="0.25">
      <c r="A1225">
        <v>2016</v>
      </c>
      <c r="B1225" t="s">
        <v>500</v>
      </c>
      <c r="C1225">
        <v>30</v>
      </c>
      <c r="D1225">
        <v>193</v>
      </c>
      <c r="E1225">
        <v>47</v>
      </c>
      <c r="F1225">
        <v>81</v>
      </c>
      <c r="G1225">
        <v>2.63</v>
      </c>
    </row>
    <row r="1226" spans="1:7" x14ac:dyDescent="0.25">
      <c r="A1226">
        <v>2016</v>
      </c>
      <c r="B1226" t="s">
        <v>501</v>
      </c>
      <c r="C1226">
        <v>50</v>
      </c>
      <c r="D1226">
        <v>307</v>
      </c>
      <c r="E1226">
        <v>50</v>
      </c>
      <c r="F1226">
        <v>80</v>
      </c>
      <c r="G1226">
        <v>2.66</v>
      </c>
    </row>
    <row r="1227" spans="1:7" x14ac:dyDescent="0.25">
      <c r="A1227">
        <v>2016</v>
      </c>
      <c r="B1227" t="s">
        <v>502</v>
      </c>
      <c r="C1227">
        <v>30</v>
      </c>
      <c r="D1227">
        <v>781</v>
      </c>
      <c r="E1227">
        <v>53</v>
      </c>
      <c r="F1227">
        <v>70</v>
      </c>
      <c r="G1227">
        <v>2.4300000000000002</v>
      </c>
    </row>
    <row r="1228" spans="1:7" x14ac:dyDescent="0.25">
      <c r="A1228">
        <v>2016</v>
      </c>
      <c r="B1228" t="s">
        <v>527</v>
      </c>
      <c r="C1228">
        <v>150</v>
      </c>
      <c r="D1228">
        <v>1929</v>
      </c>
      <c r="E1228">
        <v>56</v>
      </c>
      <c r="F1228">
        <v>84</v>
      </c>
      <c r="G1228">
        <v>2.5299999999999998</v>
      </c>
    </row>
    <row r="1229" spans="1:7" x14ac:dyDescent="0.25">
      <c r="A1229">
        <v>2016</v>
      </c>
      <c r="B1229" t="s">
        <v>504</v>
      </c>
      <c r="C1229">
        <v>30</v>
      </c>
      <c r="D1229">
        <v>214</v>
      </c>
      <c r="E1229">
        <v>50</v>
      </c>
      <c r="F1229">
        <v>81</v>
      </c>
      <c r="G1229">
        <v>2.9</v>
      </c>
    </row>
    <row r="1230" spans="1:7" x14ac:dyDescent="0.25">
      <c r="A1230">
        <v>2016</v>
      </c>
      <c r="B1230" t="s">
        <v>505</v>
      </c>
      <c r="C1230">
        <v>870</v>
      </c>
      <c r="D1230">
        <v>10205</v>
      </c>
      <c r="E1230">
        <v>60</v>
      </c>
      <c r="F1230">
        <v>90</v>
      </c>
      <c r="G1230">
        <v>2.7</v>
      </c>
    </row>
    <row r="1231" spans="1:7" x14ac:dyDescent="0.25">
      <c r="A1231">
        <v>2016</v>
      </c>
      <c r="B1231" t="s">
        <v>506</v>
      </c>
      <c r="C1231">
        <v>120</v>
      </c>
      <c r="D1231">
        <v>1400</v>
      </c>
      <c r="E1231">
        <v>53</v>
      </c>
      <c r="F1231">
        <v>86</v>
      </c>
      <c r="G1231">
        <v>2.44</v>
      </c>
    </row>
    <row r="1232" spans="1:7" x14ac:dyDescent="0.25">
      <c r="A1232">
        <v>2016</v>
      </c>
      <c r="B1232" t="s">
        <v>507</v>
      </c>
      <c r="C1232">
        <v>150</v>
      </c>
      <c r="D1232">
        <v>2372</v>
      </c>
      <c r="E1232">
        <v>60</v>
      </c>
      <c r="F1232">
        <v>84</v>
      </c>
      <c r="G1232">
        <v>2.5499999999999998</v>
      </c>
    </row>
    <row r="1233" spans="1:7" x14ac:dyDescent="0.25">
      <c r="A1233">
        <v>2016</v>
      </c>
      <c r="B1233" t="s">
        <v>535</v>
      </c>
      <c r="C1233">
        <v>484</v>
      </c>
      <c r="D1233">
        <v>2768</v>
      </c>
      <c r="E1233">
        <v>45</v>
      </c>
      <c r="F1233">
        <v>82</v>
      </c>
      <c r="G1233">
        <v>2.48</v>
      </c>
    </row>
    <row r="1234" spans="1:7" x14ac:dyDescent="0.25">
      <c r="A1234">
        <v>2016</v>
      </c>
      <c r="B1234" t="s">
        <v>509</v>
      </c>
      <c r="C1234">
        <v>34</v>
      </c>
      <c r="D1234">
        <v>157</v>
      </c>
      <c r="E1234">
        <v>39</v>
      </c>
      <c r="F1234">
        <v>72</v>
      </c>
      <c r="G1234">
        <v>2.3199999999999998</v>
      </c>
    </row>
    <row r="1235" spans="1:7" x14ac:dyDescent="0.25">
      <c r="A1235">
        <v>2016</v>
      </c>
      <c r="B1235" t="s">
        <v>510</v>
      </c>
      <c r="C1235">
        <v>45</v>
      </c>
      <c r="D1235">
        <v>430</v>
      </c>
      <c r="E1235">
        <v>51</v>
      </c>
      <c r="F1235">
        <v>82</v>
      </c>
      <c r="G1235">
        <v>2.64</v>
      </c>
    </row>
    <row r="1236" spans="1:7" x14ac:dyDescent="0.25">
      <c r="A1236">
        <v>2016</v>
      </c>
      <c r="B1236" t="s">
        <v>511</v>
      </c>
      <c r="C1236">
        <v>36</v>
      </c>
      <c r="D1236">
        <v>131</v>
      </c>
      <c r="E1236">
        <v>35</v>
      </c>
      <c r="F1236">
        <v>62</v>
      </c>
      <c r="G1236">
        <v>2.39</v>
      </c>
    </row>
    <row r="1237" spans="1:7" x14ac:dyDescent="0.25">
      <c r="A1237">
        <v>2016</v>
      </c>
      <c r="B1237" t="s">
        <v>540</v>
      </c>
      <c r="C1237">
        <v>28</v>
      </c>
      <c r="D1237">
        <v>278</v>
      </c>
      <c r="E1237">
        <v>46</v>
      </c>
      <c r="F1237">
        <v>78</v>
      </c>
      <c r="G1237">
        <v>2.39</v>
      </c>
    </row>
    <row r="1238" spans="1:7" x14ac:dyDescent="0.25">
      <c r="A1238">
        <v>2016</v>
      </c>
      <c r="B1238" t="s">
        <v>513</v>
      </c>
      <c r="C1238">
        <v>35</v>
      </c>
      <c r="D1238">
        <v>87</v>
      </c>
      <c r="E1238">
        <v>27</v>
      </c>
      <c r="F1238">
        <v>67</v>
      </c>
      <c r="G1238">
        <v>1.86</v>
      </c>
    </row>
    <row r="1239" spans="1:7" x14ac:dyDescent="0.25">
      <c r="A1239">
        <v>2016</v>
      </c>
      <c r="B1239" t="s">
        <v>514</v>
      </c>
      <c r="C1239">
        <v>36</v>
      </c>
      <c r="D1239">
        <v>169</v>
      </c>
      <c r="E1239">
        <v>38</v>
      </c>
      <c r="F1239">
        <v>68</v>
      </c>
      <c r="G1239">
        <v>2.39</v>
      </c>
    </row>
    <row r="1240" spans="1:7" x14ac:dyDescent="0.25">
      <c r="A1240">
        <v>2016</v>
      </c>
      <c r="B1240" t="s">
        <v>515</v>
      </c>
      <c r="C1240">
        <v>250</v>
      </c>
      <c r="D1240">
        <v>841</v>
      </c>
      <c r="E1240">
        <v>33</v>
      </c>
      <c r="F1240">
        <v>78</v>
      </c>
      <c r="G1240">
        <v>2.4</v>
      </c>
    </row>
    <row r="1241" spans="1:7" x14ac:dyDescent="0.25">
      <c r="A1241">
        <v>2016</v>
      </c>
      <c r="B1241" t="s">
        <v>516</v>
      </c>
      <c r="C1241">
        <v>45</v>
      </c>
      <c r="D1241">
        <v>157</v>
      </c>
      <c r="E1241">
        <v>33</v>
      </c>
      <c r="F1241">
        <v>77</v>
      </c>
      <c r="G1241">
        <v>2.33</v>
      </c>
    </row>
    <row r="1242" spans="1:7" x14ac:dyDescent="0.25">
      <c r="A1242">
        <v>2016</v>
      </c>
      <c r="B1242" t="s">
        <v>518</v>
      </c>
      <c r="C1242">
        <v>30</v>
      </c>
      <c r="D1242">
        <v>243</v>
      </c>
      <c r="E1242">
        <v>44</v>
      </c>
      <c r="F1242">
        <v>71</v>
      </c>
      <c r="G1242">
        <v>2.57</v>
      </c>
    </row>
    <row r="1243" spans="1:7" x14ac:dyDescent="0.25">
      <c r="A1243">
        <v>2016</v>
      </c>
      <c r="B1243" t="s">
        <v>520</v>
      </c>
      <c r="C1243">
        <v>54</v>
      </c>
      <c r="D1243">
        <v>329</v>
      </c>
      <c r="E1243">
        <v>44</v>
      </c>
      <c r="F1243">
        <v>76</v>
      </c>
      <c r="G1243">
        <v>2.31</v>
      </c>
    </row>
    <row r="1244" spans="1:7" x14ac:dyDescent="0.25">
      <c r="A1244">
        <v>2016</v>
      </c>
      <c r="B1244" t="s">
        <v>521</v>
      </c>
      <c r="C1244">
        <v>100</v>
      </c>
      <c r="D1244">
        <v>900</v>
      </c>
      <c r="E1244">
        <v>51</v>
      </c>
      <c r="F1244">
        <v>83</v>
      </c>
      <c r="G1244">
        <v>2.5299999999999998</v>
      </c>
    </row>
    <row r="1245" spans="1:7" x14ac:dyDescent="0.25">
      <c r="A1245">
        <v>2016</v>
      </c>
      <c r="B1245" t="s">
        <v>523</v>
      </c>
      <c r="C1245">
        <v>35</v>
      </c>
      <c r="D1245">
        <v>138</v>
      </c>
      <c r="E1245">
        <v>34</v>
      </c>
      <c r="F1245">
        <v>62</v>
      </c>
      <c r="G1245">
        <v>2.37</v>
      </c>
    </row>
    <row r="1246" spans="1:7" x14ac:dyDescent="0.25">
      <c r="A1246">
        <v>2016</v>
      </c>
      <c r="B1246" t="s">
        <v>524</v>
      </c>
      <c r="C1246">
        <v>60</v>
      </c>
      <c r="D1246">
        <v>361</v>
      </c>
      <c r="E1246">
        <v>45</v>
      </c>
      <c r="F1246">
        <v>71</v>
      </c>
      <c r="G1246">
        <v>2.38</v>
      </c>
    </row>
    <row r="1247" spans="1:7" x14ac:dyDescent="0.25">
      <c r="A1247">
        <v>2016</v>
      </c>
      <c r="B1247" t="s">
        <v>537</v>
      </c>
      <c r="C1247">
        <v>300</v>
      </c>
      <c r="D1247">
        <v>4427</v>
      </c>
      <c r="E1247">
        <v>51</v>
      </c>
      <c r="F1247">
        <v>79</v>
      </c>
      <c r="G1247">
        <v>2.4300000000000002</v>
      </c>
    </row>
    <row r="1248" spans="1:7" x14ac:dyDescent="0.25">
      <c r="A1248">
        <v>2017</v>
      </c>
      <c r="B1248" t="s">
        <v>541</v>
      </c>
      <c r="C1248">
        <v>212</v>
      </c>
      <c r="D1248">
        <v>1753</v>
      </c>
      <c r="E1248">
        <v>42</v>
      </c>
      <c r="F1248">
        <v>71</v>
      </c>
      <c r="G1248">
        <v>2.19</v>
      </c>
    </row>
    <row r="1249" spans="1:7" x14ac:dyDescent="0.25">
      <c r="A1249">
        <v>2017</v>
      </c>
      <c r="B1249" t="s">
        <v>526</v>
      </c>
      <c r="C1249">
        <v>35</v>
      </c>
      <c r="D1249">
        <v>345</v>
      </c>
      <c r="E1249">
        <v>39</v>
      </c>
      <c r="F1249">
        <v>61</v>
      </c>
      <c r="G1249">
        <v>2.23</v>
      </c>
    </row>
    <row r="1250" spans="1:7" x14ac:dyDescent="0.25">
      <c r="A1250">
        <v>2017</v>
      </c>
      <c r="B1250" t="s">
        <v>415</v>
      </c>
      <c r="C1250">
        <v>105</v>
      </c>
      <c r="D1250">
        <v>3587</v>
      </c>
      <c r="E1250">
        <v>55</v>
      </c>
      <c r="F1250">
        <v>74</v>
      </c>
      <c r="G1250">
        <v>2.46</v>
      </c>
    </row>
    <row r="1251" spans="1:7" x14ac:dyDescent="0.25">
      <c r="A1251">
        <v>2017</v>
      </c>
      <c r="B1251" t="s">
        <v>416</v>
      </c>
      <c r="C1251">
        <v>31</v>
      </c>
      <c r="D1251">
        <v>1075</v>
      </c>
      <c r="E1251">
        <v>53</v>
      </c>
      <c r="F1251">
        <v>69</v>
      </c>
      <c r="G1251">
        <v>2.42</v>
      </c>
    </row>
    <row r="1252" spans="1:7" x14ac:dyDescent="0.25">
      <c r="A1252">
        <v>2017</v>
      </c>
      <c r="B1252" t="s">
        <v>542</v>
      </c>
      <c r="C1252">
        <v>30</v>
      </c>
      <c r="D1252">
        <v>691</v>
      </c>
      <c r="E1252">
        <v>48</v>
      </c>
      <c r="F1252">
        <v>71</v>
      </c>
      <c r="G1252">
        <v>2.37</v>
      </c>
    </row>
    <row r="1253" spans="1:7" x14ac:dyDescent="0.25">
      <c r="A1253">
        <v>2017</v>
      </c>
      <c r="B1253" t="s">
        <v>419</v>
      </c>
      <c r="C1253">
        <v>30</v>
      </c>
      <c r="D1253">
        <v>128</v>
      </c>
      <c r="E1253">
        <v>41</v>
      </c>
      <c r="F1253">
        <v>65</v>
      </c>
      <c r="G1253">
        <v>2.5299999999999998</v>
      </c>
    </row>
    <row r="1254" spans="1:7" x14ac:dyDescent="0.25">
      <c r="A1254">
        <v>2017</v>
      </c>
      <c r="B1254" t="s">
        <v>420</v>
      </c>
      <c r="C1254">
        <v>25</v>
      </c>
      <c r="D1254">
        <v>211</v>
      </c>
      <c r="E1254">
        <v>42</v>
      </c>
      <c r="F1254">
        <v>72</v>
      </c>
      <c r="G1254">
        <v>2.36</v>
      </c>
    </row>
    <row r="1255" spans="1:7" x14ac:dyDescent="0.25">
      <c r="A1255">
        <v>2017</v>
      </c>
      <c r="B1255" t="s">
        <v>422</v>
      </c>
      <c r="C1255">
        <v>30</v>
      </c>
      <c r="D1255">
        <v>314</v>
      </c>
      <c r="E1255">
        <v>39</v>
      </c>
      <c r="F1255">
        <v>59</v>
      </c>
      <c r="G1255">
        <v>2.0699999999999998</v>
      </c>
    </row>
    <row r="1256" spans="1:7" x14ac:dyDescent="0.25">
      <c r="A1256">
        <v>2017</v>
      </c>
      <c r="B1256" t="s">
        <v>423</v>
      </c>
      <c r="C1256">
        <v>147</v>
      </c>
      <c r="D1256">
        <v>1205</v>
      </c>
      <c r="E1256">
        <v>44</v>
      </c>
      <c r="F1256">
        <v>73</v>
      </c>
      <c r="G1256">
        <v>2.29</v>
      </c>
    </row>
    <row r="1257" spans="1:7" x14ac:dyDescent="0.25">
      <c r="A1257">
        <v>2017</v>
      </c>
      <c r="B1257" t="s">
        <v>424</v>
      </c>
      <c r="C1257">
        <v>35</v>
      </c>
      <c r="D1257">
        <v>1372</v>
      </c>
      <c r="E1257">
        <v>56</v>
      </c>
      <c r="F1257">
        <v>77</v>
      </c>
      <c r="G1257">
        <v>2.4300000000000002</v>
      </c>
    </row>
    <row r="1258" spans="1:7" x14ac:dyDescent="0.25">
      <c r="A1258">
        <v>2017</v>
      </c>
      <c r="B1258" t="s">
        <v>425</v>
      </c>
      <c r="C1258">
        <v>28</v>
      </c>
      <c r="D1258">
        <v>977</v>
      </c>
      <c r="E1258">
        <v>52</v>
      </c>
      <c r="F1258">
        <v>73</v>
      </c>
      <c r="G1258">
        <v>2.39</v>
      </c>
    </row>
    <row r="1259" spans="1:7" x14ac:dyDescent="0.25">
      <c r="A1259">
        <v>2017</v>
      </c>
      <c r="B1259" t="s">
        <v>426</v>
      </c>
      <c r="C1259">
        <v>448</v>
      </c>
      <c r="D1259">
        <v>10909</v>
      </c>
      <c r="E1259">
        <v>55</v>
      </c>
      <c r="F1259">
        <v>79</v>
      </c>
      <c r="G1259">
        <v>2.41</v>
      </c>
    </row>
    <row r="1260" spans="1:7" x14ac:dyDescent="0.25">
      <c r="A1260">
        <v>2017</v>
      </c>
      <c r="B1260" t="s">
        <v>427</v>
      </c>
      <c r="C1260">
        <v>413</v>
      </c>
      <c r="D1260">
        <v>5770</v>
      </c>
      <c r="E1260">
        <v>50</v>
      </c>
      <c r="F1260">
        <v>82</v>
      </c>
      <c r="G1260">
        <v>2.54</v>
      </c>
    </row>
    <row r="1261" spans="1:7" x14ac:dyDescent="0.25">
      <c r="A1261">
        <v>2017</v>
      </c>
      <c r="B1261" t="s">
        <v>429</v>
      </c>
      <c r="C1261">
        <v>35</v>
      </c>
      <c r="D1261">
        <v>355</v>
      </c>
      <c r="E1261">
        <v>45</v>
      </c>
      <c r="F1261">
        <v>76</v>
      </c>
      <c r="G1261">
        <v>2.54</v>
      </c>
    </row>
    <row r="1262" spans="1:7" x14ac:dyDescent="0.25">
      <c r="A1262">
        <v>2017</v>
      </c>
      <c r="B1262" t="s">
        <v>431</v>
      </c>
      <c r="C1262">
        <v>10</v>
      </c>
      <c r="D1262">
        <v>200</v>
      </c>
      <c r="E1262">
        <v>50</v>
      </c>
      <c r="F1262">
        <v>61</v>
      </c>
      <c r="G1262">
        <v>2.2000000000000002</v>
      </c>
    </row>
    <row r="1263" spans="1:7" x14ac:dyDescent="0.25">
      <c r="A1263">
        <v>2017</v>
      </c>
      <c r="B1263" t="s">
        <v>432</v>
      </c>
      <c r="C1263">
        <v>119</v>
      </c>
      <c r="D1263">
        <v>881</v>
      </c>
      <c r="E1263">
        <v>43</v>
      </c>
      <c r="F1263">
        <v>75</v>
      </c>
      <c r="G1263">
        <v>2.33</v>
      </c>
    </row>
    <row r="1264" spans="1:7" x14ac:dyDescent="0.25">
      <c r="A1264">
        <v>2017</v>
      </c>
      <c r="B1264" t="s">
        <v>433</v>
      </c>
      <c r="C1264">
        <v>119</v>
      </c>
      <c r="D1264">
        <v>790</v>
      </c>
      <c r="E1264">
        <v>41</v>
      </c>
      <c r="F1264">
        <v>69</v>
      </c>
      <c r="G1264">
        <v>2.41</v>
      </c>
    </row>
    <row r="1265" spans="1:7" x14ac:dyDescent="0.25">
      <c r="A1265">
        <v>2017</v>
      </c>
      <c r="B1265" t="s">
        <v>434</v>
      </c>
      <c r="C1265">
        <v>84</v>
      </c>
      <c r="D1265">
        <v>267</v>
      </c>
      <c r="E1265">
        <v>27</v>
      </c>
      <c r="F1265">
        <v>63</v>
      </c>
      <c r="G1265">
        <v>1.93</v>
      </c>
    </row>
    <row r="1266" spans="1:7" x14ac:dyDescent="0.25">
      <c r="A1266">
        <v>2017</v>
      </c>
      <c r="B1266" t="s">
        <v>435</v>
      </c>
      <c r="C1266">
        <v>32</v>
      </c>
      <c r="D1266">
        <v>129</v>
      </c>
      <c r="E1266">
        <v>32</v>
      </c>
      <c r="F1266">
        <v>55</v>
      </c>
      <c r="G1266">
        <v>2.09</v>
      </c>
    </row>
    <row r="1267" spans="1:7" x14ac:dyDescent="0.25">
      <c r="A1267">
        <v>2017</v>
      </c>
      <c r="B1267" t="s">
        <v>436</v>
      </c>
      <c r="C1267">
        <v>84</v>
      </c>
      <c r="D1267">
        <v>462</v>
      </c>
      <c r="E1267">
        <v>39</v>
      </c>
      <c r="F1267">
        <v>66</v>
      </c>
      <c r="G1267">
        <v>2.2000000000000002</v>
      </c>
    </row>
    <row r="1268" spans="1:7" x14ac:dyDescent="0.25">
      <c r="A1268">
        <v>2017</v>
      </c>
      <c r="B1268" t="s">
        <v>437</v>
      </c>
      <c r="C1268">
        <v>189</v>
      </c>
      <c r="D1268">
        <v>1911</v>
      </c>
      <c r="E1268">
        <v>45</v>
      </c>
      <c r="F1268">
        <v>72</v>
      </c>
      <c r="G1268">
        <v>2.37</v>
      </c>
    </row>
    <row r="1269" spans="1:7" x14ac:dyDescent="0.25">
      <c r="A1269">
        <v>2017</v>
      </c>
      <c r="B1269" t="s">
        <v>438</v>
      </c>
      <c r="C1269">
        <v>42</v>
      </c>
      <c r="D1269">
        <v>1815</v>
      </c>
      <c r="E1269">
        <v>55</v>
      </c>
      <c r="F1269">
        <v>72</v>
      </c>
      <c r="G1269">
        <v>2.19</v>
      </c>
    </row>
    <row r="1270" spans="1:7" x14ac:dyDescent="0.25">
      <c r="A1270">
        <v>2017</v>
      </c>
      <c r="B1270" t="s">
        <v>439</v>
      </c>
      <c r="C1270">
        <v>84</v>
      </c>
      <c r="D1270">
        <v>355</v>
      </c>
      <c r="E1270">
        <v>30</v>
      </c>
      <c r="F1270">
        <v>51</v>
      </c>
      <c r="G1270">
        <v>2.06</v>
      </c>
    </row>
    <row r="1271" spans="1:7" x14ac:dyDescent="0.25">
      <c r="A1271">
        <v>2017</v>
      </c>
      <c r="B1271" t="s">
        <v>440</v>
      </c>
      <c r="C1271">
        <v>21</v>
      </c>
      <c r="D1271">
        <v>113</v>
      </c>
      <c r="E1271">
        <v>38</v>
      </c>
      <c r="F1271">
        <v>60</v>
      </c>
      <c r="G1271">
        <v>2.2400000000000002</v>
      </c>
    </row>
    <row r="1272" spans="1:7" x14ac:dyDescent="0.25">
      <c r="A1272">
        <v>2017</v>
      </c>
      <c r="B1272" t="s">
        <v>441</v>
      </c>
      <c r="C1272">
        <v>594</v>
      </c>
      <c r="D1272">
        <v>2755</v>
      </c>
      <c r="E1272">
        <v>36</v>
      </c>
      <c r="F1272">
        <v>72</v>
      </c>
      <c r="G1272">
        <v>2.33</v>
      </c>
    </row>
    <row r="1273" spans="1:7" x14ac:dyDescent="0.25">
      <c r="A1273">
        <v>2017</v>
      </c>
      <c r="B1273" t="s">
        <v>442</v>
      </c>
      <c r="C1273">
        <v>84</v>
      </c>
      <c r="D1273">
        <v>707</v>
      </c>
      <c r="E1273">
        <v>39</v>
      </c>
      <c r="F1273">
        <v>58</v>
      </c>
      <c r="G1273">
        <v>2.2599999999999998</v>
      </c>
    </row>
    <row r="1274" spans="1:7" x14ac:dyDescent="0.25">
      <c r="A1274">
        <v>2017</v>
      </c>
      <c r="B1274" t="s">
        <v>443</v>
      </c>
      <c r="C1274">
        <v>50</v>
      </c>
      <c r="D1274">
        <v>138</v>
      </c>
      <c r="E1274">
        <v>27</v>
      </c>
      <c r="F1274">
        <v>65</v>
      </c>
      <c r="G1274">
        <v>1.92</v>
      </c>
    </row>
    <row r="1275" spans="1:7" x14ac:dyDescent="0.25">
      <c r="A1275">
        <v>2017</v>
      </c>
      <c r="B1275" t="s">
        <v>444</v>
      </c>
      <c r="C1275">
        <v>30</v>
      </c>
      <c r="D1275">
        <v>43</v>
      </c>
      <c r="E1275">
        <v>27</v>
      </c>
      <c r="F1275">
        <v>53</v>
      </c>
      <c r="G1275">
        <v>0.77</v>
      </c>
    </row>
    <row r="1276" spans="1:7" x14ac:dyDescent="0.25">
      <c r="A1276">
        <v>2017</v>
      </c>
      <c r="B1276" t="s">
        <v>445</v>
      </c>
      <c r="C1276">
        <v>126</v>
      </c>
      <c r="D1276">
        <v>762</v>
      </c>
      <c r="E1276">
        <v>36</v>
      </c>
      <c r="F1276">
        <v>69</v>
      </c>
      <c r="G1276">
        <v>2.2200000000000002</v>
      </c>
    </row>
    <row r="1277" spans="1:7" x14ac:dyDescent="0.25">
      <c r="A1277">
        <v>2017</v>
      </c>
      <c r="B1277" t="s">
        <v>446</v>
      </c>
      <c r="C1277">
        <v>40</v>
      </c>
      <c r="D1277">
        <v>171</v>
      </c>
      <c r="E1277">
        <v>27</v>
      </c>
      <c r="F1277">
        <v>57</v>
      </c>
      <c r="G1277">
        <v>2.13</v>
      </c>
    </row>
    <row r="1278" spans="1:7" x14ac:dyDescent="0.25">
      <c r="A1278">
        <v>2017</v>
      </c>
      <c r="B1278" t="s">
        <v>447</v>
      </c>
      <c r="C1278">
        <v>35</v>
      </c>
      <c r="D1278">
        <v>1549</v>
      </c>
      <c r="E1278">
        <v>50</v>
      </c>
      <c r="F1278">
        <v>73</v>
      </c>
      <c r="G1278">
        <v>2.46</v>
      </c>
    </row>
    <row r="1279" spans="1:7" x14ac:dyDescent="0.25">
      <c r="A1279">
        <v>2017</v>
      </c>
      <c r="B1279" t="s">
        <v>448</v>
      </c>
      <c r="C1279">
        <v>42</v>
      </c>
      <c r="D1279">
        <v>1962</v>
      </c>
      <c r="E1279">
        <v>56</v>
      </c>
      <c r="F1279">
        <v>78</v>
      </c>
      <c r="G1279">
        <v>2.76</v>
      </c>
    </row>
    <row r="1280" spans="1:7" x14ac:dyDescent="0.25">
      <c r="A1280">
        <v>2017</v>
      </c>
      <c r="B1280" t="s">
        <v>449</v>
      </c>
      <c r="C1280">
        <v>35</v>
      </c>
      <c r="D1280">
        <v>746</v>
      </c>
      <c r="E1280">
        <v>47</v>
      </c>
      <c r="F1280">
        <v>68</v>
      </c>
      <c r="G1280">
        <v>2.37</v>
      </c>
    </row>
    <row r="1281" spans="1:7" x14ac:dyDescent="0.25">
      <c r="A1281">
        <v>2017</v>
      </c>
      <c r="B1281" t="s">
        <v>450</v>
      </c>
      <c r="C1281">
        <v>42</v>
      </c>
      <c r="D1281">
        <v>425</v>
      </c>
      <c r="E1281">
        <v>39</v>
      </c>
      <c r="F1281">
        <v>63</v>
      </c>
      <c r="G1281">
        <v>2.0499999999999998</v>
      </c>
    </row>
    <row r="1282" spans="1:7" x14ac:dyDescent="0.25">
      <c r="A1282">
        <v>2017</v>
      </c>
      <c r="B1282" t="s">
        <v>451</v>
      </c>
      <c r="C1282">
        <v>21</v>
      </c>
      <c r="D1282">
        <v>224</v>
      </c>
      <c r="E1282">
        <v>39</v>
      </c>
      <c r="F1282">
        <v>62</v>
      </c>
      <c r="G1282">
        <v>2.0499999999999998</v>
      </c>
    </row>
    <row r="1283" spans="1:7" x14ac:dyDescent="0.25">
      <c r="A1283">
        <v>2017</v>
      </c>
      <c r="B1283" t="s">
        <v>529</v>
      </c>
      <c r="C1283">
        <v>300</v>
      </c>
      <c r="D1283">
        <v>4483</v>
      </c>
      <c r="E1283">
        <v>43</v>
      </c>
      <c r="F1283">
        <v>70</v>
      </c>
      <c r="G1283">
        <v>2.31</v>
      </c>
    </row>
    <row r="1284" spans="1:7" x14ac:dyDescent="0.25">
      <c r="A1284">
        <v>2017</v>
      </c>
      <c r="B1284" t="s">
        <v>453</v>
      </c>
      <c r="C1284">
        <v>84</v>
      </c>
      <c r="D1284">
        <v>1632</v>
      </c>
      <c r="E1284">
        <v>51</v>
      </c>
      <c r="F1284">
        <v>75</v>
      </c>
      <c r="G1284">
        <v>2.5099999999999998</v>
      </c>
    </row>
    <row r="1285" spans="1:7" x14ac:dyDescent="0.25">
      <c r="A1285">
        <v>2017</v>
      </c>
      <c r="B1285" t="s">
        <v>454</v>
      </c>
      <c r="C1285">
        <v>24</v>
      </c>
      <c r="D1285">
        <v>321</v>
      </c>
      <c r="E1285">
        <v>44</v>
      </c>
      <c r="F1285">
        <v>64</v>
      </c>
      <c r="G1285">
        <v>2.33</v>
      </c>
    </row>
    <row r="1286" spans="1:7" x14ac:dyDescent="0.25">
      <c r="A1286">
        <v>2017</v>
      </c>
      <c r="B1286" t="s">
        <v>455</v>
      </c>
      <c r="C1286">
        <v>30</v>
      </c>
      <c r="D1286">
        <v>498</v>
      </c>
      <c r="E1286">
        <v>47</v>
      </c>
      <c r="F1286">
        <v>63</v>
      </c>
      <c r="G1286">
        <v>2.67</v>
      </c>
    </row>
    <row r="1287" spans="1:7" x14ac:dyDescent="0.25">
      <c r="A1287">
        <v>2017</v>
      </c>
      <c r="B1287" t="s">
        <v>456</v>
      </c>
      <c r="C1287">
        <v>30</v>
      </c>
      <c r="D1287">
        <v>993</v>
      </c>
      <c r="E1287">
        <v>54</v>
      </c>
      <c r="F1287">
        <v>76</v>
      </c>
      <c r="G1287">
        <v>2.4700000000000002</v>
      </c>
    </row>
    <row r="1288" spans="1:7" x14ac:dyDescent="0.25">
      <c r="A1288">
        <v>2017</v>
      </c>
      <c r="B1288" t="s">
        <v>530</v>
      </c>
      <c r="C1288">
        <v>20</v>
      </c>
      <c r="D1288">
        <v>436</v>
      </c>
      <c r="E1288">
        <v>49</v>
      </c>
      <c r="F1288">
        <v>64</v>
      </c>
      <c r="G1288">
        <v>2.25</v>
      </c>
    </row>
    <row r="1289" spans="1:7" x14ac:dyDescent="0.25">
      <c r="A1289">
        <v>2017</v>
      </c>
      <c r="B1289" t="s">
        <v>458</v>
      </c>
      <c r="C1289">
        <v>28</v>
      </c>
      <c r="D1289">
        <v>239</v>
      </c>
      <c r="E1289">
        <v>37</v>
      </c>
      <c r="F1289">
        <v>60</v>
      </c>
      <c r="G1289">
        <v>2.14</v>
      </c>
    </row>
    <row r="1290" spans="1:7" x14ac:dyDescent="0.25">
      <c r="A1290">
        <v>2017</v>
      </c>
      <c r="B1290" t="s">
        <v>459</v>
      </c>
      <c r="C1290">
        <v>80</v>
      </c>
      <c r="D1290">
        <v>720</v>
      </c>
      <c r="E1290">
        <v>38</v>
      </c>
      <c r="F1290">
        <v>71</v>
      </c>
      <c r="G1290">
        <v>2.1800000000000002</v>
      </c>
    </row>
    <row r="1291" spans="1:7" x14ac:dyDescent="0.25">
      <c r="A1291">
        <v>2017</v>
      </c>
      <c r="B1291" t="s">
        <v>531</v>
      </c>
      <c r="C1291">
        <v>48</v>
      </c>
      <c r="D1291">
        <v>329</v>
      </c>
      <c r="E1291">
        <v>34</v>
      </c>
      <c r="F1291">
        <v>67</v>
      </c>
      <c r="G1291">
        <v>2.02</v>
      </c>
    </row>
    <row r="1292" spans="1:7" x14ac:dyDescent="0.25">
      <c r="A1292">
        <v>2017</v>
      </c>
      <c r="B1292" t="s">
        <v>532</v>
      </c>
      <c r="C1292">
        <v>42</v>
      </c>
      <c r="D1292">
        <v>235</v>
      </c>
      <c r="E1292">
        <v>32</v>
      </c>
      <c r="F1292">
        <v>54</v>
      </c>
      <c r="G1292">
        <v>2.02</v>
      </c>
    </row>
    <row r="1293" spans="1:7" x14ac:dyDescent="0.25">
      <c r="A1293">
        <v>2017</v>
      </c>
      <c r="B1293" t="s">
        <v>461</v>
      </c>
      <c r="C1293">
        <v>56</v>
      </c>
      <c r="D1293">
        <v>758</v>
      </c>
      <c r="E1293">
        <v>42</v>
      </c>
      <c r="F1293">
        <v>73</v>
      </c>
      <c r="G1293">
        <v>2.29</v>
      </c>
    </row>
    <row r="1294" spans="1:7" x14ac:dyDescent="0.25">
      <c r="A1294">
        <v>2017</v>
      </c>
      <c r="B1294" t="s">
        <v>462</v>
      </c>
      <c r="C1294">
        <v>117</v>
      </c>
      <c r="D1294">
        <v>650</v>
      </c>
      <c r="E1294">
        <v>33</v>
      </c>
      <c r="F1294">
        <v>60</v>
      </c>
      <c r="G1294">
        <v>2.2200000000000002</v>
      </c>
    </row>
    <row r="1295" spans="1:7" x14ac:dyDescent="0.25">
      <c r="A1295">
        <v>2017</v>
      </c>
      <c r="B1295" t="s">
        <v>538</v>
      </c>
      <c r="C1295">
        <v>160</v>
      </c>
      <c r="D1295">
        <v>1202</v>
      </c>
      <c r="E1295">
        <v>40</v>
      </c>
      <c r="F1295">
        <v>68</v>
      </c>
      <c r="G1295">
        <v>2.17</v>
      </c>
    </row>
    <row r="1296" spans="1:7" x14ac:dyDescent="0.25">
      <c r="A1296">
        <v>2017</v>
      </c>
      <c r="B1296" t="s">
        <v>539</v>
      </c>
      <c r="C1296">
        <v>32</v>
      </c>
      <c r="D1296">
        <v>107</v>
      </c>
      <c r="E1296">
        <v>31</v>
      </c>
      <c r="F1296">
        <v>53</v>
      </c>
      <c r="G1296">
        <v>2.13</v>
      </c>
    </row>
    <row r="1297" spans="1:7" x14ac:dyDescent="0.25">
      <c r="A1297">
        <v>2017</v>
      </c>
      <c r="B1297" t="s">
        <v>465</v>
      </c>
      <c r="C1297">
        <v>120</v>
      </c>
      <c r="D1297">
        <v>1075</v>
      </c>
      <c r="E1297">
        <v>45</v>
      </c>
      <c r="F1297">
        <v>78</v>
      </c>
      <c r="G1297">
        <v>2.4300000000000002</v>
      </c>
    </row>
    <row r="1298" spans="1:7" x14ac:dyDescent="0.25">
      <c r="A1298">
        <v>2017</v>
      </c>
      <c r="B1298" t="s">
        <v>466</v>
      </c>
      <c r="C1298">
        <v>56</v>
      </c>
      <c r="D1298">
        <v>509</v>
      </c>
      <c r="E1298">
        <v>44</v>
      </c>
      <c r="F1298">
        <v>76</v>
      </c>
      <c r="G1298">
        <v>2.25</v>
      </c>
    </row>
    <row r="1299" spans="1:7" x14ac:dyDescent="0.25">
      <c r="A1299">
        <v>2017</v>
      </c>
      <c r="B1299" t="s">
        <v>467</v>
      </c>
      <c r="C1299">
        <v>25</v>
      </c>
      <c r="D1299">
        <v>695</v>
      </c>
      <c r="E1299">
        <v>45</v>
      </c>
      <c r="F1299">
        <v>76</v>
      </c>
      <c r="G1299">
        <v>2.2400000000000002</v>
      </c>
    </row>
    <row r="1300" spans="1:7" x14ac:dyDescent="0.25">
      <c r="A1300">
        <v>2017</v>
      </c>
      <c r="B1300" t="s">
        <v>468</v>
      </c>
      <c r="C1300">
        <v>34</v>
      </c>
      <c r="D1300">
        <v>570</v>
      </c>
      <c r="E1300">
        <v>41</v>
      </c>
      <c r="F1300">
        <v>66</v>
      </c>
      <c r="G1300">
        <v>2.15</v>
      </c>
    </row>
    <row r="1301" spans="1:7" x14ac:dyDescent="0.25">
      <c r="A1301">
        <v>2017</v>
      </c>
      <c r="B1301" t="s">
        <v>469</v>
      </c>
      <c r="C1301">
        <v>25</v>
      </c>
      <c r="D1301">
        <v>239</v>
      </c>
      <c r="E1301">
        <v>39</v>
      </c>
      <c r="F1301">
        <v>60</v>
      </c>
      <c r="G1301">
        <v>2.16</v>
      </c>
    </row>
    <row r="1302" spans="1:7" x14ac:dyDescent="0.25">
      <c r="A1302">
        <v>2017</v>
      </c>
      <c r="B1302" t="s">
        <v>470</v>
      </c>
      <c r="C1302">
        <v>28</v>
      </c>
      <c r="D1302">
        <v>297</v>
      </c>
      <c r="E1302">
        <v>38</v>
      </c>
      <c r="F1302">
        <v>64</v>
      </c>
      <c r="G1302">
        <v>2.3199999999999998</v>
      </c>
    </row>
    <row r="1303" spans="1:7" x14ac:dyDescent="0.25">
      <c r="A1303">
        <v>2017</v>
      </c>
      <c r="B1303" t="s">
        <v>471</v>
      </c>
      <c r="C1303">
        <v>27</v>
      </c>
      <c r="D1303">
        <v>110</v>
      </c>
      <c r="E1303">
        <v>30</v>
      </c>
      <c r="F1303">
        <v>61</v>
      </c>
      <c r="G1303">
        <v>2.19</v>
      </c>
    </row>
    <row r="1304" spans="1:7" x14ac:dyDescent="0.25">
      <c r="A1304">
        <v>2017</v>
      </c>
      <c r="B1304" t="s">
        <v>472</v>
      </c>
      <c r="C1304">
        <v>42</v>
      </c>
      <c r="D1304">
        <v>97</v>
      </c>
      <c r="E1304">
        <v>27</v>
      </c>
      <c r="F1304">
        <v>51</v>
      </c>
      <c r="G1304">
        <v>1.48</v>
      </c>
    </row>
    <row r="1305" spans="1:7" x14ac:dyDescent="0.25">
      <c r="A1305">
        <v>2017</v>
      </c>
      <c r="B1305" t="s">
        <v>473</v>
      </c>
      <c r="C1305">
        <v>295</v>
      </c>
      <c r="D1305">
        <v>18598</v>
      </c>
      <c r="E1305">
        <v>69</v>
      </c>
      <c r="F1305">
        <v>88</v>
      </c>
      <c r="G1305">
        <v>2.63</v>
      </c>
    </row>
    <row r="1306" spans="1:7" x14ac:dyDescent="0.25">
      <c r="A1306">
        <v>2017</v>
      </c>
      <c r="B1306" t="s">
        <v>533</v>
      </c>
      <c r="C1306">
        <v>90</v>
      </c>
      <c r="D1306">
        <v>6802</v>
      </c>
      <c r="E1306">
        <v>69</v>
      </c>
      <c r="F1306">
        <v>81</v>
      </c>
      <c r="G1306">
        <v>2.66</v>
      </c>
    </row>
    <row r="1307" spans="1:7" x14ac:dyDescent="0.25">
      <c r="A1307">
        <v>2017</v>
      </c>
      <c r="B1307" t="s">
        <v>475</v>
      </c>
      <c r="C1307">
        <v>72</v>
      </c>
      <c r="D1307">
        <v>2303</v>
      </c>
      <c r="E1307">
        <v>50</v>
      </c>
      <c r="F1307">
        <v>71</v>
      </c>
      <c r="G1307">
        <v>2.36</v>
      </c>
    </row>
    <row r="1308" spans="1:7" x14ac:dyDescent="0.25">
      <c r="A1308">
        <v>2017</v>
      </c>
      <c r="B1308" t="s">
        <v>476</v>
      </c>
      <c r="C1308">
        <v>42</v>
      </c>
      <c r="D1308">
        <v>1052</v>
      </c>
      <c r="E1308">
        <v>48</v>
      </c>
      <c r="F1308">
        <v>69</v>
      </c>
      <c r="G1308">
        <v>2.31</v>
      </c>
    </row>
    <row r="1309" spans="1:7" x14ac:dyDescent="0.25">
      <c r="A1309">
        <v>2017</v>
      </c>
      <c r="B1309" t="s">
        <v>477</v>
      </c>
      <c r="C1309">
        <v>64</v>
      </c>
      <c r="D1309">
        <v>1125</v>
      </c>
      <c r="E1309">
        <v>44</v>
      </c>
      <c r="F1309">
        <v>65</v>
      </c>
      <c r="G1309">
        <v>2.11</v>
      </c>
    </row>
    <row r="1310" spans="1:7" x14ac:dyDescent="0.25">
      <c r="A1310">
        <v>2017</v>
      </c>
      <c r="B1310" t="s">
        <v>478</v>
      </c>
      <c r="C1310">
        <v>27</v>
      </c>
      <c r="D1310">
        <v>399</v>
      </c>
      <c r="E1310">
        <v>43</v>
      </c>
      <c r="F1310">
        <v>66</v>
      </c>
      <c r="G1310">
        <v>2.37</v>
      </c>
    </row>
    <row r="1311" spans="1:7" x14ac:dyDescent="0.25">
      <c r="A1311">
        <v>2017</v>
      </c>
      <c r="B1311" t="s">
        <v>479</v>
      </c>
      <c r="C1311">
        <v>42</v>
      </c>
      <c r="D1311">
        <v>395</v>
      </c>
      <c r="E1311">
        <v>38</v>
      </c>
      <c r="F1311">
        <v>60</v>
      </c>
      <c r="G1311">
        <v>2.31</v>
      </c>
    </row>
    <row r="1312" spans="1:7" x14ac:dyDescent="0.25">
      <c r="A1312">
        <v>2017</v>
      </c>
      <c r="B1312" t="s">
        <v>480</v>
      </c>
      <c r="C1312">
        <v>120</v>
      </c>
      <c r="D1312">
        <v>1655</v>
      </c>
      <c r="E1312">
        <v>44</v>
      </c>
      <c r="F1312">
        <v>68</v>
      </c>
      <c r="G1312">
        <v>2.17</v>
      </c>
    </row>
    <row r="1313" spans="1:7" x14ac:dyDescent="0.25">
      <c r="A1313">
        <v>2017</v>
      </c>
      <c r="B1313" t="s">
        <v>481</v>
      </c>
      <c r="C1313">
        <v>38</v>
      </c>
      <c r="D1313">
        <v>738</v>
      </c>
      <c r="E1313">
        <v>44</v>
      </c>
      <c r="F1313">
        <v>68</v>
      </c>
      <c r="G1313">
        <v>2.37</v>
      </c>
    </row>
    <row r="1314" spans="1:7" x14ac:dyDescent="0.25">
      <c r="A1314">
        <v>2017</v>
      </c>
      <c r="B1314" t="s">
        <v>482</v>
      </c>
      <c r="C1314">
        <v>72</v>
      </c>
      <c r="D1314">
        <v>851</v>
      </c>
      <c r="E1314">
        <v>41</v>
      </c>
      <c r="F1314">
        <v>66</v>
      </c>
      <c r="G1314">
        <v>2.4</v>
      </c>
    </row>
    <row r="1315" spans="1:7" x14ac:dyDescent="0.25">
      <c r="A1315">
        <v>2017</v>
      </c>
      <c r="B1315" t="s">
        <v>483</v>
      </c>
      <c r="C1315">
        <v>49</v>
      </c>
      <c r="D1315">
        <v>2619</v>
      </c>
      <c r="E1315">
        <v>58</v>
      </c>
      <c r="F1315">
        <v>75</v>
      </c>
      <c r="G1315">
        <v>2.2400000000000002</v>
      </c>
    </row>
    <row r="1316" spans="1:7" x14ac:dyDescent="0.25">
      <c r="A1316">
        <v>2017</v>
      </c>
      <c r="B1316" t="s">
        <v>484</v>
      </c>
      <c r="C1316">
        <v>32</v>
      </c>
      <c r="D1316">
        <v>1187</v>
      </c>
      <c r="E1316">
        <v>54</v>
      </c>
      <c r="F1316">
        <v>72</v>
      </c>
      <c r="G1316">
        <v>2.44</v>
      </c>
    </row>
    <row r="1317" spans="1:7" x14ac:dyDescent="0.25">
      <c r="A1317">
        <v>2017</v>
      </c>
      <c r="B1317" t="s">
        <v>485</v>
      </c>
      <c r="C1317">
        <v>32</v>
      </c>
      <c r="D1317">
        <v>470</v>
      </c>
      <c r="E1317">
        <v>41</v>
      </c>
      <c r="F1317">
        <v>69</v>
      </c>
      <c r="G1317">
        <v>2.19</v>
      </c>
    </row>
    <row r="1318" spans="1:7" x14ac:dyDescent="0.25">
      <c r="A1318">
        <v>2017</v>
      </c>
      <c r="B1318" t="s">
        <v>486</v>
      </c>
      <c r="C1318">
        <v>25</v>
      </c>
      <c r="D1318">
        <v>221</v>
      </c>
      <c r="E1318">
        <v>39</v>
      </c>
      <c r="F1318">
        <v>69</v>
      </c>
      <c r="G1318">
        <v>2.16</v>
      </c>
    </row>
    <row r="1319" spans="1:7" x14ac:dyDescent="0.25">
      <c r="A1319">
        <v>2017</v>
      </c>
      <c r="B1319" t="s">
        <v>487</v>
      </c>
      <c r="C1319">
        <v>18</v>
      </c>
      <c r="D1319">
        <v>189</v>
      </c>
      <c r="E1319">
        <v>37</v>
      </c>
      <c r="F1319">
        <v>59</v>
      </c>
      <c r="G1319">
        <v>2.06</v>
      </c>
    </row>
    <row r="1320" spans="1:7" x14ac:dyDescent="0.25">
      <c r="A1320">
        <v>2017</v>
      </c>
      <c r="B1320" t="s">
        <v>488</v>
      </c>
      <c r="C1320">
        <v>28</v>
      </c>
      <c r="D1320">
        <v>266</v>
      </c>
      <c r="E1320">
        <v>36</v>
      </c>
      <c r="F1320">
        <v>52</v>
      </c>
      <c r="G1320">
        <v>2.21</v>
      </c>
    </row>
    <row r="1321" spans="1:7" x14ac:dyDescent="0.25">
      <c r="A1321">
        <v>2017</v>
      </c>
      <c r="B1321" t="s">
        <v>534</v>
      </c>
      <c r="C1321">
        <v>300</v>
      </c>
      <c r="D1321">
        <v>4448</v>
      </c>
      <c r="E1321">
        <v>44</v>
      </c>
      <c r="F1321">
        <v>80</v>
      </c>
      <c r="G1321">
        <v>2.2799999999999998</v>
      </c>
    </row>
    <row r="1322" spans="1:7" x14ac:dyDescent="0.25">
      <c r="A1322">
        <v>2017</v>
      </c>
      <c r="B1322" t="s">
        <v>490</v>
      </c>
      <c r="C1322">
        <v>28</v>
      </c>
      <c r="D1322">
        <v>184</v>
      </c>
      <c r="E1322">
        <v>44</v>
      </c>
      <c r="F1322">
        <v>83</v>
      </c>
      <c r="G1322">
        <v>2.57</v>
      </c>
    </row>
    <row r="1323" spans="1:7" x14ac:dyDescent="0.25">
      <c r="A1323">
        <v>2017</v>
      </c>
      <c r="B1323" t="s">
        <v>491</v>
      </c>
      <c r="C1323">
        <v>84</v>
      </c>
      <c r="D1323">
        <v>194</v>
      </c>
      <c r="E1323">
        <v>27</v>
      </c>
      <c r="F1323">
        <v>57</v>
      </c>
      <c r="G1323">
        <v>1.4</v>
      </c>
    </row>
    <row r="1324" spans="1:7" x14ac:dyDescent="0.25">
      <c r="A1324">
        <v>2017</v>
      </c>
      <c r="B1324" t="s">
        <v>492</v>
      </c>
      <c r="C1324">
        <v>256</v>
      </c>
      <c r="D1324">
        <v>2546</v>
      </c>
      <c r="E1324">
        <v>46</v>
      </c>
      <c r="F1324">
        <v>79</v>
      </c>
      <c r="G1324">
        <v>2.41</v>
      </c>
    </row>
    <row r="1325" spans="1:7" x14ac:dyDescent="0.25">
      <c r="A1325">
        <v>2017</v>
      </c>
      <c r="B1325" t="s">
        <v>493</v>
      </c>
      <c r="C1325">
        <v>40</v>
      </c>
      <c r="D1325">
        <v>1045</v>
      </c>
      <c r="E1325">
        <v>62</v>
      </c>
      <c r="F1325">
        <v>78</v>
      </c>
      <c r="G1325">
        <v>2.5299999999999998</v>
      </c>
    </row>
    <row r="1326" spans="1:7" x14ac:dyDescent="0.25">
      <c r="A1326">
        <v>2017</v>
      </c>
      <c r="B1326" t="s">
        <v>494</v>
      </c>
      <c r="C1326">
        <v>32</v>
      </c>
      <c r="D1326">
        <v>192</v>
      </c>
      <c r="E1326">
        <v>38</v>
      </c>
      <c r="F1326">
        <v>66</v>
      </c>
      <c r="G1326">
        <v>2.16</v>
      </c>
    </row>
    <row r="1327" spans="1:7" x14ac:dyDescent="0.25">
      <c r="A1327">
        <v>2017</v>
      </c>
      <c r="B1327" t="s">
        <v>495</v>
      </c>
      <c r="C1327">
        <v>40</v>
      </c>
      <c r="D1327">
        <v>313</v>
      </c>
      <c r="E1327">
        <v>44</v>
      </c>
      <c r="F1327">
        <v>60</v>
      </c>
      <c r="G1327">
        <v>2.23</v>
      </c>
    </row>
    <row r="1328" spans="1:7" x14ac:dyDescent="0.25">
      <c r="A1328">
        <v>2017</v>
      </c>
      <c r="B1328" t="s">
        <v>496</v>
      </c>
      <c r="C1328">
        <v>30</v>
      </c>
      <c r="D1328">
        <v>236</v>
      </c>
      <c r="E1328">
        <v>44</v>
      </c>
      <c r="F1328">
        <v>75</v>
      </c>
      <c r="G1328">
        <v>2.33</v>
      </c>
    </row>
    <row r="1329" spans="1:7" x14ac:dyDescent="0.25">
      <c r="A1329">
        <v>2017</v>
      </c>
      <c r="B1329" t="s">
        <v>497</v>
      </c>
      <c r="C1329">
        <v>60</v>
      </c>
      <c r="D1329">
        <v>1664</v>
      </c>
      <c r="E1329">
        <v>55</v>
      </c>
      <c r="F1329">
        <v>75</v>
      </c>
      <c r="G1329">
        <v>2.17</v>
      </c>
    </row>
    <row r="1330" spans="1:7" x14ac:dyDescent="0.25">
      <c r="A1330">
        <v>2017</v>
      </c>
      <c r="B1330" t="s">
        <v>498</v>
      </c>
      <c r="C1330">
        <v>68</v>
      </c>
      <c r="D1330">
        <v>428</v>
      </c>
      <c r="E1330">
        <v>39</v>
      </c>
      <c r="F1330">
        <v>68</v>
      </c>
      <c r="G1330">
        <v>2.2200000000000002</v>
      </c>
    </row>
    <row r="1331" spans="1:7" x14ac:dyDescent="0.25">
      <c r="A1331">
        <v>2017</v>
      </c>
      <c r="B1331" t="s">
        <v>499</v>
      </c>
      <c r="C1331">
        <v>42</v>
      </c>
      <c r="D1331">
        <v>110</v>
      </c>
      <c r="E1331">
        <v>27</v>
      </c>
      <c r="F1331">
        <v>69</v>
      </c>
      <c r="G1331">
        <v>1.88</v>
      </c>
    </row>
    <row r="1332" spans="1:7" x14ac:dyDescent="0.25">
      <c r="A1332">
        <v>2017</v>
      </c>
      <c r="B1332" t="s">
        <v>500</v>
      </c>
      <c r="C1332">
        <v>30</v>
      </c>
      <c r="D1332">
        <v>143</v>
      </c>
      <c r="E1332">
        <v>39</v>
      </c>
      <c r="F1332">
        <v>68</v>
      </c>
      <c r="G1332">
        <v>2.37</v>
      </c>
    </row>
    <row r="1333" spans="1:7" x14ac:dyDescent="0.25">
      <c r="A1333">
        <v>2017</v>
      </c>
      <c r="B1333" t="s">
        <v>501</v>
      </c>
      <c r="C1333">
        <v>50</v>
      </c>
      <c r="D1333">
        <v>318</v>
      </c>
      <c r="E1333">
        <v>45</v>
      </c>
      <c r="F1333">
        <v>73</v>
      </c>
      <c r="G1333">
        <v>2.42</v>
      </c>
    </row>
    <row r="1334" spans="1:7" x14ac:dyDescent="0.25">
      <c r="A1334">
        <v>2017</v>
      </c>
      <c r="B1334" t="s">
        <v>502</v>
      </c>
      <c r="C1334">
        <v>30</v>
      </c>
      <c r="D1334">
        <v>591</v>
      </c>
      <c r="E1334">
        <v>48</v>
      </c>
      <c r="F1334">
        <v>71</v>
      </c>
      <c r="G1334">
        <v>2.17</v>
      </c>
    </row>
    <row r="1335" spans="1:7" x14ac:dyDescent="0.25">
      <c r="A1335">
        <v>2017</v>
      </c>
      <c r="B1335" t="s">
        <v>527</v>
      </c>
      <c r="C1335">
        <v>150</v>
      </c>
      <c r="D1335">
        <v>1724</v>
      </c>
      <c r="E1335">
        <v>51</v>
      </c>
      <c r="F1335">
        <v>84</v>
      </c>
      <c r="G1335">
        <v>2.56</v>
      </c>
    </row>
    <row r="1336" spans="1:7" x14ac:dyDescent="0.25">
      <c r="A1336">
        <v>2017</v>
      </c>
      <c r="B1336" t="s">
        <v>504</v>
      </c>
      <c r="C1336">
        <v>30</v>
      </c>
      <c r="D1336">
        <v>204</v>
      </c>
      <c r="E1336">
        <v>45</v>
      </c>
      <c r="F1336">
        <v>73</v>
      </c>
      <c r="G1336">
        <v>2.4</v>
      </c>
    </row>
    <row r="1337" spans="1:7" x14ac:dyDescent="0.25">
      <c r="A1337">
        <v>2017</v>
      </c>
      <c r="B1337" t="s">
        <v>505</v>
      </c>
      <c r="C1337">
        <v>783</v>
      </c>
      <c r="D1337">
        <v>8786</v>
      </c>
      <c r="E1337">
        <v>55</v>
      </c>
      <c r="F1337">
        <v>82</v>
      </c>
      <c r="G1337">
        <v>2.64</v>
      </c>
    </row>
    <row r="1338" spans="1:7" x14ac:dyDescent="0.25">
      <c r="A1338">
        <v>2017</v>
      </c>
      <c r="B1338" t="s">
        <v>506</v>
      </c>
      <c r="C1338">
        <v>120</v>
      </c>
      <c r="D1338">
        <v>1108</v>
      </c>
      <c r="E1338">
        <v>45</v>
      </c>
      <c r="F1338">
        <v>68</v>
      </c>
      <c r="G1338">
        <v>2.4900000000000002</v>
      </c>
    </row>
    <row r="1339" spans="1:7" x14ac:dyDescent="0.25">
      <c r="A1339">
        <v>2017</v>
      </c>
      <c r="B1339" t="s">
        <v>507</v>
      </c>
      <c r="C1339">
        <v>150</v>
      </c>
      <c r="D1339">
        <v>2004</v>
      </c>
      <c r="E1339">
        <v>54</v>
      </c>
      <c r="F1339">
        <v>82</v>
      </c>
      <c r="G1339">
        <v>2.59</v>
      </c>
    </row>
    <row r="1340" spans="1:7" x14ac:dyDescent="0.25">
      <c r="A1340">
        <v>2017</v>
      </c>
      <c r="B1340" t="s">
        <v>535</v>
      </c>
      <c r="C1340">
        <v>475</v>
      </c>
      <c r="D1340">
        <v>2550</v>
      </c>
      <c r="E1340">
        <v>41</v>
      </c>
      <c r="F1340">
        <v>80</v>
      </c>
      <c r="G1340">
        <v>2.36</v>
      </c>
    </row>
    <row r="1341" spans="1:7" x14ac:dyDescent="0.25">
      <c r="A1341">
        <v>2017</v>
      </c>
      <c r="B1341" t="s">
        <v>509</v>
      </c>
      <c r="C1341">
        <v>34</v>
      </c>
      <c r="D1341">
        <v>163</v>
      </c>
      <c r="E1341">
        <v>36</v>
      </c>
      <c r="F1341">
        <v>73</v>
      </c>
      <c r="G1341">
        <v>2.1800000000000002</v>
      </c>
    </row>
    <row r="1342" spans="1:7" x14ac:dyDescent="0.25">
      <c r="A1342">
        <v>2017</v>
      </c>
      <c r="B1342" t="s">
        <v>510</v>
      </c>
      <c r="C1342">
        <v>35</v>
      </c>
      <c r="D1342">
        <v>298</v>
      </c>
      <c r="E1342">
        <v>46</v>
      </c>
      <c r="F1342">
        <v>72</v>
      </c>
      <c r="G1342">
        <v>2.6</v>
      </c>
    </row>
    <row r="1343" spans="1:7" x14ac:dyDescent="0.25">
      <c r="A1343">
        <v>2017</v>
      </c>
      <c r="B1343" t="s">
        <v>511</v>
      </c>
      <c r="C1343">
        <v>36</v>
      </c>
      <c r="D1343">
        <v>126</v>
      </c>
      <c r="E1343">
        <v>32</v>
      </c>
      <c r="F1343">
        <v>56</v>
      </c>
      <c r="G1343">
        <v>2.25</v>
      </c>
    </row>
    <row r="1344" spans="1:7" x14ac:dyDescent="0.25">
      <c r="A1344">
        <v>2017</v>
      </c>
      <c r="B1344" t="s">
        <v>540</v>
      </c>
      <c r="C1344">
        <v>28</v>
      </c>
      <c r="D1344">
        <v>245</v>
      </c>
      <c r="E1344">
        <v>41</v>
      </c>
      <c r="F1344">
        <v>61</v>
      </c>
      <c r="G1344">
        <v>2.25</v>
      </c>
    </row>
    <row r="1345" spans="1:12" x14ac:dyDescent="0.25">
      <c r="A1345">
        <v>2017</v>
      </c>
      <c r="B1345" t="s">
        <v>513</v>
      </c>
      <c r="C1345">
        <v>35</v>
      </c>
      <c r="D1345">
        <v>285</v>
      </c>
      <c r="E1345">
        <v>41</v>
      </c>
      <c r="F1345">
        <v>79</v>
      </c>
      <c r="G1345">
        <v>2.2000000000000002</v>
      </c>
    </row>
    <row r="1346" spans="1:12" x14ac:dyDescent="0.25">
      <c r="A1346">
        <v>2017</v>
      </c>
      <c r="B1346" t="s">
        <v>514</v>
      </c>
      <c r="C1346">
        <v>28</v>
      </c>
      <c r="D1346">
        <v>43</v>
      </c>
      <c r="E1346">
        <v>27</v>
      </c>
      <c r="F1346">
        <v>63</v>
      </c>
      <c r="G1346">
        <v>1</v>
      </c>
    </row>
    <row r="1347" spans="1:12" x14ac:dyDescent="0.25">
      <c r="A1347">
        <v>2017</v>
      </c>
      <c r="B1347" t="s">
        <v>515</v>
      </c>
      <c r="C1347">
        <v>230</v>
      </c>
      <c r="D1347">
        <v>840</v>
      </c>
      <c r="E1347">
        <v>33</v>
      </c>
      <c r="F1347">
        <v>89</v>
      </c>
      <c r="G1347">
        <v>2.27</v>
      </c>
    </row>
    <row r="1348" spans="1:12" x14ac:dyDescent="0.25">
      <c r="A1348">
        <v>2017</v>
      </c>
      <c r="B1348" t="s">
        <v>516</v>
      </c>
      <c r="C1348">
        <v>40</v>
      </c>
      <c r="D1348">
        <v>206</v>
      </c>
      <c r="E1348">
        <v>34</v>
      </c>
      <c r="F1348">
        <v>66</v>
      </c>
      <c r="G1348">
        <v>2.13</v>
      </c>
    </row>
    <row r="1349" spans="1:12" x14ac:dyDescent="0.25">
      <c r="A1349">
        <v>2017</v>
      </c>
      <c r="B1349" t="s">
        <v>518</v>
      </c>
      <c r="C1349">
        <v>28</v>
      </c>
      <c r="D1349">
        <v>233</v>
      </c>
      <c r="E1349">
        <v>41</v>
      </c>
      <c r="F1349">
        <v>72</v>
      </c>
      <c r="G1349">
        <v>2.64</v>
      </c>
    </row>
    <row r="1350" spans="1:12" x14ac:dyDescent="0.25">
      <c r="A1350">
        <v>2017</v>
      </c>
      <c r="B1350" t="s">
        <v>520</v>
      </c>
      <c r="C1350">
        <v>54</v>
      </c>
      <c r="D1350">
        <v>314</v>
      </c>
      <c r="E1350">
        <v>38</v>
      </c>
      <c r="F1350">
        <v>67</v>
      </c>
      <c r="G1350">
        <v>2.15</v>
      </c>
    </row>
    <row r="1351" spans="1:12" x14ac:dyDescent="0.25">
      <c r="A1351">
        <v>2017</v>
      </c>
      <c r="B1351" t="s">
        <v>521</v>
      </c>
      <c r="C1351">
        <v>84</v>
      </c>
      <c r="D1351">
        <v>775</v>
      </c>
      <c r="E1351">
        <v>48</v>
      </c>
      <c r="F1351">
        <v>75</v>
      </c>
      <c r="G1351">
        <v>2.29</v>
      </c>
    </row>
    <row r="1352" spans="1:12" x14ac:dyDescent="0.25">
      <c r="A1352">
        <v>2017</v>
      </c>
      <c r="B1352" t="s">
        <v>523</v>
      </c>
      <c r="C1352">
        <v>35</v>
      </c>
      <c r="D1352">
        <v>121</v>
      </c>
      <c r="E1352">
        <v>30</v>
      </c>
      <c r="F1352">
        <v>53</v>
      </c>
      <c r="G1352">
        <v>2.14</v>
      </c>
    </row>
    <row r="1353" spans="1:12" x14ac:dyDescent="0.25">
      <c r="A1353">
        <v>2017</v>
      </c>
      <c r="B1353" t="s">
        <v>524</v>
      </c>
      <c r="C1353">
        <v>48</v>
      </c>
      <c r="D1353">
        <v>321</v>
      </c>
      <c r="E1353">
        <v>41</v>
      </c>
      <c r="F1353">
        <v>72</v>
      </c>
      <c r="G1353">
        <v>2.38</v>
      </c>
    </row>
    <row r="1354" spans="1:12" x14ac:dyDescent="0.25">
      <c r="A1354">
        <v>2017</v>
      </c>
      <c r="B1354" t="s">
        <v>537</v>
      </c>
      <c r="C1354">
        <v>300</v>
      </c>
      <c r="D1354">
        <v>3821</v>
      </c>
      <c r="E1354">
        <v>45</v>
      </c>
      <c r="F1354">
        <v>75</v>
      </c>
      <c r="G1354">
        <v>2.5</v>
      </c>
    </row>
    <row r="1355" spans="1:12" x14ac:dyDescent="0.25">
      <c r="A1355">
        <v>2018</v>
      </c>
      <c r="B1355" t="s">
        <v>541</v>
      </c>
      <c r="C1355">
        <v>212</v>
      </c>
      <c r="D1355">
        <v>1794</v>
      </c>
      <c r="E1355">
        <v>43</v>
      </c>
      <c r="F1355">
        <v>77</v>
      </c>
      <c r="G1355">
        <v>2.33</v>
      </c>
      <c r="I1355" t="s">
        <v>796</v>
      </c>
      <c r="J1355" t="str">
        <f t="shared" ref="J1355:J1418" si="12">RIGHT(I1355,6)</f>
        <v xml:space="preserve"> 77 43</v>
      </c>
      <c r="K1355">
        <f t="shared" ref="K1355" si="13">VALUE(RIGHT(J1355,2))-E1355</f>
        <v>0</v>
      </c>
      <c r="L1355">
        <f t="shared" ref="L1355" si="14">VALUE(LEFT(J1355,3))-F1355</f>
        <v>0</v>
      </c>
    </row>
    <row r="1356" spans="1:12" x14ac:dyDescent="0.25">
      <c r="A1356">
        <v>2018</v>
      </c>
      <c r="B1356" t="s">
        <v>526</v>
      </c>
      <c r="C1356">
        <v>35</v>
      </c>
      <c r="D1356">
        <v>387</v>
      </c>
      <c r="E1356">
        <v>40</v>
      </c>
      <c r="F1356">
        <v>59</v>
      </c>
      <c r="G1356">
        <v>2.2000000000000002</v>
      </c>
      <c r="I1356" t="s">
        <v>699</v>
      </c>
      <c r="J1356" t="str">
        <f t="shared" si="12"/>
        <v xml:space="preserve"> 59 40</v>
      </c>
      <c r="K1356">
        <f t="shared" ref="K1356:K1419" si="15">VALUE(RIGHT(J1356,2))-E1356</f>
        <v>0</v>
      </c>
      <c r="L1356">
        <f t="shared" ref="L1356:L1419" si="16">VALUE(LEFT(J1356,3))-F1356</f>
        <v>0</v>
      </c>
    </row>
    <row r="1357" spans="1:12" x14ac:dyDescent="0.25">
      <c r="A1357">
        <v>2018</v>
      </c>
      <c r="B1357" t="s">
        <v>415</v>
      </c>
      <c r="C1357">
        <v>105</v>
      </c>
      <c r="D1357">
        <v>3227</v>
      </c>
      <c r="E1357">
        <v>57</v>
      </c>
      <c r="F1357">
        <v>80</v>
      </c>
      <c r="G1357">
        <v>2.3199999999999998</v>
      </c>
      <c r="I1357" t="s">
        <v>700</v>
      </c>
      <c r="J1357" t="str">
        <f t="shared" si="12"/>
        <v xml:space="preserve"> 80 57</v>
      </c>
      <c r="K1357">
        <f t="shared" si="15"/>
        <v>0</v>
      </c>
      <c r="L1357">
        <f t="shared" si="16"/>
        <v>0</v>
      </c>
    </row>
    <row r="1358" spans="1:12" x14ac:dyDescent="0.25">
      <c r="A1358">
        <v>2018</v>
      </c>
      <c r="B1358" t="s">
        <v>416</v>
      </c>
      <c r="C1358">
        <v>31</v>
      </c>
      <c r="D1358">
        <v>889</v>
      </c>
      <c r="E1358">
        <v>55</v>
      </c>
      <c r="F1358">
        <v>71</v>
      </c>
      <c r="G1358">
        <v>2.29</v>
      </c>
      <c r="I1358" t="s">
        <v>701</v>
      </c>
      <c r="J1358" t="str">
        <f t="shared" si="12"/>
        <v xml:space="preserve"> 71 55</v>
      </c>
      <c r="K1358">
        <f t="shared" si="15"/>
        <v>0</v>
      </c>
      <c r="L1358">
        <f t="shared" si="16"/>
        <v>0</v>
      </c>
    </row>
    <row r="1359" spans="1:12" x14ac:dyDescent="0.25">
      <c r="A1359">
        <v>2018</v>
      </c>
      <c r="B1359" t="s">
        <v>542</v>
      </c>
      <c r="C1359">
        <v>30</v>
      </c>
      <c r="D1359">
        <v>738</v>
      </c>
      <c r="E1359">
        <v>49</v>
      </c>
      <c r="F1359">
        <v>72</v>
      </c>
      <c r="G1359">
        <v>2.23</v>
      </c>
      <c r="I1359" t="s">
        <v>702</v>
      </c>
      <c r="J1359" t="str">
        <f t="shared" si="12"/>
        <v xml:space="preserve"> 72 49</v>
      </c>
      <c r="K1359">
        <f t="shared" si="15"/>
        <v>0</v>
      </c>
      <c r="L1359">
        <f t="shared" si="16"/>
        <v>0</v>
      </c>
    </row>
    <row r="1360" spans="1:12" x14ac:dyDescent="0.25">
      <c r="A1360">
        <v>2018</v>
      </c>
      <c r="B1360" t="s">
        <v>419</v>
      </c>
      <c r="C1360">
        <v>30</v>
      </c>
      <c r="D1360">
        <v>171</v>
      </c>
      <c r="E1360">
        <v>45</v>
      </c>
      <c r="F1360">
        <v>73</v>
      </c>
      <c r="G1360">
        <v>2.4700000000000002</v>
      </c>
      <c r="I1360" t="s">
        <v>703</v>
      </c>
      <c r="J1360" t="str">
        <f t="shared" si="12"/>
        <v xml:space="preserve"> 73 45</v>
      </c>
      <c r="K1360">
        <f t="shared" si="15"/>
        <v>0</v>
      </c>
      <c r="L1360">
        <f t="shared" si="16"/>
        <v>0</v>
      </c>
    </row>
    <row r="1361" spans="1:12" x14ac:dyDescent="0.25">
      <c r="A1361">
        <v>2018</v>
      </c>
      <c r="B1361" t="s">
        <v>420</v>
      </c>
      <c r="C1361">
        <v>28</v>
      </c>
      <c r="D1361">
        <v>115</v>
      </c>
      <c r="E1361">
        <v>33</v>
      </c>
      <c r="F1361">
        <v>62</v>
      </c>
      <c r="G1361">
        <v>2.21</v>
      </c>
      <c r="I1361" t="s">
        <v>704</v>
      </c>
      <c r="J1361" t="str">
        <f t="shared" si="12"/>
        <v xml:space="preserve"> 62 33</v>
      </c>
      <c r="K1361">
        <f t="shared" si="15"/>
        <v>0</v>
      </c>
      <c r="L1361">
        <f t="shared" si="16"/>
        <v>0</v>
      </c>
    </row>
    <row r="1362" spans="1:12" x14ac:dyDescent="0.25">
      <c r="A1362">
        <v>2018</v>
      </c>
      <c r="B1362" t="s">
        <v>422</v>
      </c>
      <c r="C1362">
        <v>28</v>
      </c>
      <c r="D1362">
        <v>62</v>
      </c>
      <c r="E1362">
        <v>27</v>
      </c>
      <c r="F1362">
        <v>56</v>
      </c>
      <c r="G1362">
        <v>1.36</v>
      </c>
      <c r="I1362" t="s">
        <v>705</v>
      </c>
      <c r="J1362" t="str">
        <f t="shared" si="12"/>
        <v xml:space="preserve"> 56 27</v>
      </c>
      <c r="K1362">
        <f t="shared" si="15"/>
        <v>0</v>
      </c>
      <c r="L1362">
        <f t="shared" si="16"/>
        <v>0</v>
      </c>
    </row>
    <row r="1363" spans="1:12" x14ac:dyDescent="0.25">
      <c r="A1363">
        <v>2018</v>
      </c>
      <c r="B1363" t="s">
        <v>423</v>
      </c>
      <c r="C1363">
        <v>147</v>
      </c>
      <c r="D1363">
        <v>1089</v>
      </c>
      <c r="E1363">
        <v>43</v>
      </c>
      <c r="F1363">
        <v>73</v>
      </c>
      <c r="G1363">
        <v>2.3199999999999998</v>
      </c>
      <c r="I1363" t="s">
        <v>706</v>
      </c>
      <c r="J1363" t="str">
        <f t="shared" si="12"/>
        <v xml:space="preserve"> 73 43</v>
      </c>
      <c r="K1363">
        <f t="shared" si="15"/>
        <v>0</v>
      </c>
      <c r="L1363">
        <f t="shared" si="16"/>
        <v>0</v>
      </c>
    </row>
    <row r="1364" spans="1:12" x14ac:dyDescent="0.25">
      <c r="A1364">
        <v>2018</v>
      </c>
      <c r="B1364" t="s">
        <v>424</v>
      </c>
      <c r="C1364">
        <v>24</v>
      </c>
      <c r="D1364">
        <v>1568</v>
      </c>
      <c r="E1364">
        <v>62</v>
      </c>
      <c r="F1364">
        <v>75</v>
      </c>
      <c r="G1364">
        <v>2.33</v>
      </c>
      <c r="I1364" t="s">
        <v>707</v>
      </c>
      <c r="J1364" t="str">
        <f t="shared" si="12"/>
        <v xml:space="preserve"> 75 62</v>
      </c>
      <c r="K1364">
        <f t="shared" si="15"/>
        <v>0</v>
      </c>
      <c r="L1364">
        <f t="shared" si="16"/>
        <v>0</v>
      </c>
    </row>
    <row r="1365" spans="1:12" x14ac:dyDescent="0.25">
      <c r="A1365">
        <v>2018</v>
      </c>
      <c r="B1365" t="s">
        <v>425</v>
      </c>
      <c r="C1365">
        <v>28</v>
      </c>
      <c r="D1365">
        <v>976</v>
      </c>
      <c r="E1365">
        <v>53</v>
      </c>
      <c r="F1365">
        <v>74</v>
      </c>
      <c r="G1365">
        <v>2.46</v>
      </c>
      <c r="I1365" t="s">
        <v>708</v>
      </c>
      <c r="J1365" t="str">
        <f t="shared" si="12"/>
        <v xml:space="preserve"> 74 53</v>
      </c>
      <c r="K1365">
        <f t="shared" si="15"/>
        <v>0</v>
      </c>
      <c r="L1365">
        <f t="shared" si="16"/>
        <v>0</v>
      </c>
    </row>
    <row r="1366" spans="1:12" x14ac:dyDescent="0.25">
      <c r="A1366">
        <v>2018</v>
      </c>
      <c r="B1366" t="s">
        <v>426</v>
      </c>
      <c r="C1366">
        <v>392</v>
      </c>
      <c r="D1366">
        <v>10742</v>
      </c>
      <c r="E1366">
        <v>58</v>
      </c>
      <c r="F1366">
        <v>83</v>
      </c>
      <c r="G1366">
        <v>2.5</v>
      </c>
      <c r="I1366" t="s">
        <v>709</v>
      </c>
      <c r="J1366" t="str">
        <f t="shared" si="12"/>
        <v xml:space="preserve"> 83 58</v>
      </c>
      <c r="K1366">
        <f t="shared" si="15"/>
        <v>0</v>
      </c>
      <c r="L1366">
        <f t="shared" si="16"/>
        <v>0</v>
      </c>
    </row>
    <row r="1367" spans="1:12" x14ac:dyDescent="0.25">
      <c r="A1367">
        <v>2018</v>
      </c>
      <c r="B1367" t="s">
        <v>427</v>
      </c>
      <c r="C1367">
        <v>413</v>
      </c>
      <c r="D1367">
        <v>5552</v>
      </c>
      <c r="E1367">
        <v>52</v>
      </c>
      <c r="F1367">
        <v>89</v>
      </c>
      <c r="G1367">
        <v>2.41</v>
      </c>
      <c r="I1367" t="s">
        <v>797</v>
      </c>
      <c r="J1367" t="str">
        <f t="shared" si="12"/>
        <v xml:space="preserve"> 89 52</v>
      </c>
      <c r="K1367">
        <f t="shared" si="15"/>
        <v>0</v>
      </c>
      <c r="L1367">
        <f t="shared" si="16"/>
        <v>0</v>
      </c>
    </row>
    <row r="1368" spans="1:12" x14ac:dyDescent="0.25">
      <c r="A1368">
        <v>2018</v>
      </c>
      <c r="B1368" t="s">
        <v>429</v>
      </c>
      <c r="C1368">
        <v>35</v>
      </c>
      <c r="D1368">
        <v>325</v>
      </c>
      <c r="E1368">
        <v>45</v>
      </c>
      <c r="F1368">
        <v>74</v>
      </c>
      <c r="G1368">
        <v>2.4900000000000002</v>
      </c>
      <c r="I1368" t="s">
        <v>710</v>
      </c>
      <c r="J1368" t="str">
        <f t="shared" si="12"/>
        <v xml:space="preserve"> 74 45</v>
      </c>
      <c r="K1368">
        <f t="shared" si="15"/>
        <v>0</v>
      </c>
      <c r="L1368">
        <f t="shared" si="16"/>
        <v>0</v>
      </c>
    </row>
    <row r="1369" spans="1:12" x14ac:dyDescent="0.25">
      <c r="A1369">
        <v>2018</v>
      </c>
      <c r="B1369" t="s">
        <v>431</v>
      </c>
      <c r="C1369">
        <v>10</v>
      </c>
      <c r="D1369">
        <v>156</v>
      </c>
      <c r="E1369">
        <v>48</v>
      </c>
      <c r="F1369">
        <v>77</v>
      </c>
      <c r="G1369">
        <v>2.2999999999999998</v>
      </c>
      <c r="I1369" t="s">
        <v>711</v>
      </c>
      <c r="J1369" t="str">
        <f t="shared" si="12"/>
        <v xml:space="preserve"> 77 48</v>
      </c>
      <c r="K1369">
        <f t="shared" si="15"/>
        <v>0</v>
      </c>
      <c r="L1369">
        <f t="shared" si="16"/>
        <v>0</v>
      </c>
    </row>
    <row r="1370" spans="1:12" x14ac:dyDescent="0.25">
      <c r="A1370">
        <v>2018</v>
      </c>
      <c r="B1370" t="s">
        <v>432</v>
      </c>
      <c r="C1370">
        <v>119</v>
      </c>
      <c r="D1370">
        <v>769</v>
      </c>
      <c r="E1370">
        <v>42</v>
      </c>
      <c r="F1370">
        <v>72</v>
      </c>
      <c r="G1370">
        <v>2.37</v>
      </c>
      <c r="I1370" t="s">
        <v>712</v>
      </c>
      <c r="J1370" t="str">
        <f t="shared" si="12"/>
        <v xml:space="preserve"> 72 42</v>
      </c>
      <c r="K1370">
        <f t="shared" si="15"/>
        <v>0</v>
      </c>
      <c r="L1370">
        <f t="shared" si="16"/>
        <v>0</v>
      </c>
    </row>
    <row r="1371" spans="1:12" x14ac:dyDescent="0.25">
      <c r="A1371">
        <v>2018</v>
      </c>
      <c r="B1371" t="s">
        <v>433</v>
      </c>
      <c r="C1371">
        <v>119</v>
      </c>
      <c r="D1371">
        <v>559</v>
      </c>
      <c r="E1371">
        <v>37</v>
      </c>
      <c r="F1371">
        <v>70</v>
      </c>
      <c r="G1371">
        <v>2.35</v>
      </c>
      <c r="I1371" t="s">
        <v>713</v>
      </c>
      <c r="J1371" t="str">
        <f t="shared" si="12"/>
        <v xml:space="preserve"> 70 37</v>
      </c>
      <c r="K1371">
        <f t="shared" si="15"/>
        <v>0</v>
      </c>
      <c r="L1371">
        <f t="shared" si="16"/>
        <v>0</v>
      </c>
    </row>
    <row r="1372" spans="1:12" x14ac:dyDescent="0.25">
      <c r="A1372">
        <v>2018</v>
      </c>
      <c r="B1372" t="s">
        <v>434</v>
      </c>
      <c r="C1372">
        <v>84</v>
      </c>
      <c r="D1372">
        <v>344</v>
      </c>
      <c r="E1372">
        <v>33</v>
      </c>
      <c r="F1372">
        <v>60</v>
      </c>
      <c r="G1372">
        <v>2.2000000000000002</v>
      </c>
      <c r="I1372" t="s">
        <v>798</v>
      </c>
      <c r="J1372" t="str">
        <f t="shared" si="12"/>
        <v xml:space="preserve"> 60 33</v>
      </c>
      <c r="K1372">
        <f t="shared" si="15"/>
        <v>0</v>
      </c>
      <c r="L1372">
        <f t="shared" si="16"/>
        <v>0</v>
      </c>
    </row>
    <row r="1373" spans="1:12" x14ac:dyDescent="0.25">
      <c r="A1373">
        <v>2018</v>
      </c>
      <c r="B1373" t="s">
        <v>435</v>
      </c>
      <c r="C1373">
        <v>32</v>
      </c>
      <c r="D1373">
        <v>92</v>
      </c>
      <c r="E1373">
        <v>27</v>
      </c>
      <c r="F1373">
        <v>59</v>
      </c>
      <c r="G1373">
        <v>1.97</v>
      </c>
      <c r="I1373" t="s">
        <v>714</v>
      </c>
      <c r="J1373" t="str">
        <f t="shared" si="12"/>
        <v xml:space="preserve"> 59 27</v>
      </c>
      <c r="K1373">
        <f t="shared" si="15"/>
        <v>0</v>
      </c>
      <c r="L1373">
        <f t="shared" si="16"/>
        <v>0</v>
      </c>
    </row>
    <row r="1374" spans="1:12" x14ac:dyDescent="0.25">
      <c r="A1374">
        <v>2018</v>
      </c>
      <c r="B1374" t="s">
        <v>436</v>
      </c>
      <c r="C1374">
        <v>84</v>
      </c>
      <c r="D1374">
        <v>427</v>
      </c>
      <c r="E1374">
        <v>36</v>
      </c>
      <c r="F1374">
        <v>71</v>
      </c>
      <c r="G1374">
        <v>2.37</v>
      </c>
      <c r="I1374" t="s">
        <v>799</v>
      </c>
      <c r="J1374" t="str">
        <f t="shared" si="12"/>
        <v xml:space="preserve"> 71 36</v>
      </c>
      <c r="K1374">
        <f t="shared" si="15"/>
        <v>0</v>
      </c>
      <c r="L1374">
        <f t="shared" si="16"/>
        <v>0</v>
      </c>
    </row>
    <row r="1375" spans="1:12" x14ac:dyDescent="0.25">
      <c r="A1375">
        <v>2018</v>
      </c>
      <c r="B1375" t="s">
        <v>437</v>
      </c>
      <c r="C1375">
        <v>189</v>
      </c>
      <c r="D1375">
        <v>1664</v>
      </c>
      <c r="E1375">
        <v>45</v>
      </c>
      <c r="F1375">
        <v>82</v>
      </c>
      <c r="G1375">
        <v>2.2999999999999998</v>
      </c>
      <c r="I1375" t="s">
        <v>715</v>
      </c>
      <c r="J1375" t="str">
        <f t="shared" si="12"/>
        <v xml:space="preserve"> 82 45</v>
      </c>
      <c r="K1375">
        <f t="shared" si="15"/>
        <v>0</v>
      </c>
      <c r="L1375">
        <f t="shared" si="16"/>
        <v>0</v>
      </c>
    </row>
    <row r="1376" spans="1:12" x14ac:dyDescent="0.25">
      <c r="A1376">
        <v>2018</v>
      </c>
      <c r="B1376" t="s">
        <v>438</v>
      </c>
      <c r="C1376">
        <v>42</v>
      </c>
      <c r="D1376">
        <v>1607</v>
      </c>
      <c r="E1376">
        <v>54</v>
      </c>
      <c r="F1376">
        <v>71</v>
      </c>
      <c r="G1376">
        <v>2.2599999999999998</v>
      </c>
      <c r="I1376" t="s">
        <v>716</v>
      </c>
      <c r="J1376" t="str">
        <f t="shared" si="12"/>
        <v xml:space="preserve"> 71 54</v>
      </c>
      <c r="K1376">
        <f t="shared" si="15"/>
        <v>0</v>
      </c>
      <c r="L1376">
        <f t="shared" si="16"/>
        <v>0</v>
      </c>
    </row>
    <row r="1377" spans="1:12" x14ac:dyDescent="0.25">
      <c r="A1377">
        <v>2018</v>
      </c>
      <c r="B1377" t="s">
        <v>439</v>
      </c>
      <c r="C1377">
        <v>84</v>
      </c>
      <c r="D1377">
        <v>298</v>
      </c>
      <c r="E1377">
        <v>30</v>
      </c>
      <c r="F1377">
        <v>58</v>
      </c>
      <c r="G1377">
        <v>2.0699999999999998</v>
      </c>
      <c r="I1377" t="s">
        <v>800</v>
      </c>
      <c r="J1377" t="str">
        <f t="shared" si="12"/>
        <v xml:space="preserve"> 58 30</v>
      </c>
      <c r="K1377">
        <f t="shared" si="15"/>
        <v>0</v>
      </c>
      <c r="L1377">
        <f t="shared" si="16"/>
        <v>0</v>
      </c>
    </row>
    <row r="1378" spans="1:12" x14ac:dyDescent="0.25">
      <c r="A1378">
        <v>2018</v>
      </c>
      <c r="B1378" t="s">
        <v>440</v>
      </c>
      <c r="C1378">
        <v>21</v>
      </c>
      <c r="D1378">
        <v>87</v>
      </c>
      <c r="E1378">
        <v>37</v>
      </c>
      <c r="F1378">
        <v>54</v>
      </c>
      <c r="G1378">
        <v>2.2400000000000002</v>
      </c>
      <c r="I1378" t="s">
        <v>717</v>
      </c>
      <c r="J1378" t="str">
        <f t="shared" si="12"/>
        <v xml:space="preserve"> 54 37</v>
      </c>
      <c r="K1378">
        <f t="shared" si="15"/>
        <v>0</v>
      </c>
      <c r="L1378">
        <f t="shared" si="16"/>
        <v>0</v>
      </c>
    </row>
    <row r="1379" spans="1:12" x14ac:dyDescent="0.25">
      <c r="A1379">
        <v>2018</v>
      </c>
      <c r="B1379" t="s">
        <v>441</v>
      </c>
      <c r="C1379">
        <v>594</v>
      </c>
      <c r="D1379">
        <v>2957</v>
      </c>
      <c r="E1379">
        <v>37</v>
      </c>
      <c r="F1379">
        <v>76</v>
      </c>
      <c r="G1379">
        <v>2.2400000000000002</v>
      </c>
      <c r="I1379" t="s">
        <v>718</v>
      </c>
      <c r="J1379" t="str">
        <f t="shared" si="12"/>
        <v xml:space="preserve"> 76 37</v>
      </c>
      <c r="K1379">
        <f t="shared" si="15"/>
        <v>0</v>
      </c>
      <c r="L1379">
        <f t="shared" si="16"/>
        <v>0</v>
      </c>
    </row>
    <row r="1380" spans="1:12" x14ac:dyDescent="0.25">
      <c r="A1380">
        <v>2018</v>
      </c>
      <c r="B1380" t="s">
        <v>442</v>
      </c>
      <c r="C1380">
        <v>84</v>
      </c>
      <c r="D1380">
        <v>726</v>
      </c>
      <c r="E1380">
        <v>40</v>
      </c>
      <c r="F1380">
        <v>68</v>
      </c>
      <c r="G1380">
        <v>2.4500000000000002</v>
      </c>
      <c r="I1380" t="s">
        <v>801</v>
      </c>
      <c r="J1380" t="str">
        <f t="shared" si="12"/>
        <v xml:space="preserve"> 68 40</v>
      </c>
      <c r="K1380">
        <f t="shared" si="15"/>
        <v>0</v>
      </c>
      <c r="L1380">
        <f t="shared" si="16"/>
        <v>0</v>
      </c>
    </row>
    <row r="1381" spans="1:12" x14ac:dyDescent="0.25">
      <c r="A1381">
        <v>2018</v>
      </c>
      <c r="B1381" t="s">
        <v>443</v>
      </c>
      <c r="C1381">
        <v>50</v>
      </c>
      <c r="D1381">
        <v>145</v>
      </c>
      <c r="E1381">
        <v>27</v>
      </c>
      <c r="F1381">
        <v>71</v>
      </c>
      <c r="G1381">
        <v>2.08</v>
      </c>
      <c r="I1381" t="s">
        <v>719</v>
      </c>
      <c r="J1381" t="str">
        <f t="shared" si="12"/>
        <v xml:space="preserve"> 71 27</v>
      </c>
      <c r="K1381">
        <f t="shared" si="15"/>
        <v>0</v>
      </c>
      <c r="L1381">
        <f t="shared" si="16"/>
        <v>0</v>
      </c>
    </row>
    <row r="1382" spans="1:12" x14ac:dyDescent="0.25">
      <c r="A1382">
        <v>2018</v>
      </c>
      <c r="B1382" t="s">
        <v>444</v>
      </c>
      <c r="C1382">
        <v>30</v>
      </c>
      <c r="D1382">
        <v>56</v>
      </c>
      <c r="E1382">
        <v>27</v>
      </c>
      <c r="F1382">
        <v>55</v>
      </c>
      <c r="G1382">
        <v>1.2</v>
      </c>
      <c r="I1382" t="s">
        <v>720</v>
      </c>
      <c r="J1382" t="str">
        <f t="shared" si="12"/>
        <v xml:space="preserve"> 55 27</v>
      </c>
      <c r="K1382">
        <f t="shared" si="15"/>
        <v>0</v>
      </c>
      <c r="L1382">
        <f t="shared" si="16"/>
        <v>0</v>
      </c>
    </row>
    <row r="1383" spans="1:12" x14ac:dyDescent="0.25">
      <c r="A1383">
        <v>2018</v>
      </c>
      <c r="B1383" t="s">
        <v>445</v>
      </c>
      <c r="C1383">
        <v>126</v>
      </c>
      <c r="D1383">
        <v>825</v>
      </c>
      <c r="E1383">
        <v>38</v>
      </c>
      <c r="F1383">
        <v>72</v>
      </c>
      <c r="G1383">
        <v>2.16</v>
      </c>
      <c r="I1383" t="s">
        <v>721</v>
      </c>
      <c r="J1383" t="str">
        <f t="shared" si="12"/>
        <v xml:space="preserve"> 72 38</v>
      </c>
      <c r="K1383">
        <f t="shared" si="15"/>
        <v>0</v>
      </c>
      <c r="L1383">
        <f t="shared" si="16"/>
        <v>0</v>
      </c>
    </row>
    <row r="1384" spans="1:12" x14ac:dyDescent="0.25">
      <c r="A1384">
        <v>2018</v>
      </c>
      <c r="B1384" t="s">
        <v>446</v>
      </c>
      <c r="C1384">
        <v>35</v>
      </c>
      <c r="D1384">
        <v>439</v>
      </c>
      <c r="E1384">
        <v>40</v>
      </c>
      <c r="F1384">
        <v>62</v>
      </c>
      <c r="G1384">
        <v>2.23</v>
      </c>
      <c r="I1384" t="s">
        <v>722</v>
      </c>
      <c r="J1384" t="str">
        <f t="shared" si="12"/>
        <v xml:space="preserve"> 62 40</v>
      </c>
      <c r="K1384">
        <f t="shared" si="15"/>
        <v>0</v>
      </c>
      <c r="L1384">
        <f t="shared" si="16"/>
        <v>0</v>
      </c>
    </row>
    <row r="1385" spans="1:12" x14ac:dyDescent="0.25">
      <c r="A1385">
        <v>2018</v>
      </c>
      <c r="B1385" t="s">
        <v>447</v>
      </c>
      <c r="C1385">
        <v>35</v>
      </c>
      <c r="D1385">
        <v>1313</v>
      </c>
      <c r="E1385">
        <v>52</v>
      </c>
      <c r="F1385">
        <v>70</v>
      </c>
      <c r="G1385">
        <v>2.2000000000000002</v>
      </c>
      <c r="I1385" t="s">
        <v>723</v>
      </c>
      <c r="J1385" t="str">
        <f t="shared" si="12"/>
        <v xml:space="preserve"> 70 52</v>
      </c>
      <c r="K1385">
        <f t="shared" si="15"/>
        <v>0</v>
      </c>
      <c r="L1385">
        <f t="shared" si="16"/>
        <v>0</v>
      </c>
    </row>
    <row r="1386" spans="1:12" x14ac:dyDescent="0.25">
      <c r="A1386">
        <v>2018</v>
      </c>
      <c r="B1386" t="s">
        <v>448</v>
      </c>
      <c r="C1386">
        <v>42</v>
      </c>
      <c r="D1386">
        <v>2178</v>
      </c>
      <c r="E1386">
        <v>60</v>
      </c>
      <c r="F1386">
        <v>77</v>
      </c>
      <c r="G1386">
        <v>2.33</v>
      </c>
      <c r="I1386" t="s">
        <v>724</v>
      </c>
      <c r="J1386" t="str">
        <f t="shared" si="12"/>
        <v xml:space="preserve"> 77 60</v>
      </c>
      <c r="K1386">
        <f t="shared" si="15"/>
        <v>0</v>
      </c>
      <c r="L1386">
        <f t="shared" si="16"/>
        <v>0</v>
      </c>
    </row>
    <row r="1387" spans="1:12" x14ac:dyDescent="0.25">
      <c r="A1387">
        <v>2018</v>
      </c>
      <c r="B1387" t="s">
        <v>449</v>
      </c>
      <c r="C1387">
        <v>35</v>
      </c>
      <c r="D1387">
        <v>608</v>
      </c>
      <c r="E1387">
        <v>46</v>
      </c>
      <c r="F1387">
        <v>64</v>
      </c>
      <c r="G1387">
        <v>2.23</v>
      </c>
      <c r="I1387" t="s">
        <v>725</v>
      </c>
      <c r="J1387" t="str">
        <f t="shared" si="12"/>
        <v xml:space="preserve"> 64 46</v>
      </c>
      <c r="K1387">
        <f t="shared" si="15"/>
        <v>0</v>
      </c>
      <c r="L1387">
        <f t="shared" si="16"/>
        <v>0</v>
      </c>
    </row>
    <row r="1388" spans="1:12" x14ac:dyDescent="0.25">
      <c r="A1388">
        <v>2018</v>
      </c>
      <c r="B1388" t="s">
        <v>450</v>
      </c>
      <c r="C1388">
        <v>42</v>
      </c>
      <c r="D1388">
        <v>443</v>
      </c>
      <c r="E1388">
        <v>40</v>
      </c>
      <c r="F1388">
        <v>67</v>
      </c>
      <c r="G1388">
        <v>2.29</v>
      </c>
      <c r="I1388" t="s">
        <v>802</v>
      </c>
      <c r="J1388" t="str">
        <f t="shared" si="12"/>
        <v xml:space="preserve"> 67 40</v>
      </c>
      <c r="K1388">
        <f t="shared" si="15"/>
        <v>0</v>
      </c>
      <c r="L1388">
        <f t="shared" si="16"/>
        <v>0</v>
      </c>
    </row>
    <row r="1389" spans="1:12" x14ac:dyDescent="0.25">
      <c r="A1389">
        <v>2018</v>
      </c>
      <c r="B1389" t="s">
        <v>451</v>
      </c>
      <c r="C1389">
        <v>21</v>
      </c>
      <c r="D1389">
        <v>182</v>
      </c>
      <c r="E1389">
        <v>38</v>
      </c>
      <c r="F1389">
        <v>61</v>
      </c>
      <c r="G1389">
        <v>2.19</v>
      </c>
      <c r="I1389" t="s">
        <v>726</v>
      </c>
      <c r="J1389" t="str">
        <f t="shared" si="12"/>
        <v xml:space="preserve"> 61 38</v>
      </c>
      <c r="K1389">
        <f t="shared" si="15"/>
        <v>0</v>
      </c>
      <c r="L1389">
        <f t="shared" si="16"/>
        <v>0</v>
      </c>
    </row>
    <row r="1390" spans="1:12" x14ac:dyDescent="0.25">
      <c r="A1390">
        <v>2018</v>
      </c>
      <c r="B1390" t="s">
        <v>529</v>
      </c>
      <c r="C1390">
        <v>300</v>
      </c>
      <c r="D1390">
        <v>4487</v>
      </c>
      <c r="E1390">
        <v>44</v>
      </c>
      <c r="F1390">
        <v>71</v>
      </c>
      <c r="G1390">
        <v>2.31</v>
      </c>
      <c r="I1390" t="s">
        <v>727</v>
      </c>
      <c r="J1390" t="str">
        <f t="shared" si="12"/>
        <v xml:space="preserve"> 71 44</v>
      </c>
      <c r="K1390">
        <f t="shared" si="15"/>
        <v>0</v>
      </c>
      <c r="L1390">
        <f t="shared" si="16"/>
        <v>0</v>
      </c>
    </row>
    <row r="1391" spans="1:12" x14ac:dyDescent="0.25">
      <c r="A1391">
        <v>2018</v>
      </c>
      <c r="B1391" t="s">
        <v>543</v>
      </c>
      <c r="C1391">
        <v>42</v>
      </c>
      <c r="D1391">
        <v>394</v>
      </c>
      <c r="E1391">
        <v>47</v>
      </c>
      <c r="F1391">
        <v>70</v>
      </c>
      <c r="G1391">
        <v>2.38</v>
      </c>
      <c r="I1391" t="s">
        <v>803</v>
      </c>
      <c r="J1391" t="str">
        <f t="shared" si="12"/>
        <v xml:space="preserve"> 70 47</v>
      </c>
      <c r="K1391">
        <f t="shared" si="15"/>
        <v>0</v>
      </c>
      <c r="L1391">
        <f t="shared" si="16"/>
        <v>0</v>
      </c>
    </row>
    <row r="1392" spans="1:12" x14ac:dyDescent="0.25">
      <c r="A1392">
        <v>2018</v>
      </c>
      <c r="B1392" t="s">
        <v>544</v>
      </c>
      <c r="C1392">
        <v>84</v>
      </c>
      <c r="D1392">
        <v>1487</v>
      </c>
      <c r="E1392">
        <v>53</v>
      </c>
      <c r="F1392">
        <v>76</v>
      </c>
      <c r="G1392">
        <v>2.27</v>
      </c>
      <c r="I1392" t="s">
        <v>728</v>
      </c>
      <c r="J1392" t="str">
        <f t="shared" si="12"/>
        <v xml:space="preserve"> 76 53</v>
      </c>
      <c r="K1392">
        <f t="shared" si="15"/>
        <v>0</v>
      </c>
      <c r="L1392">
        <f t="shared" si="16"/>
        <v>0</v>
      </c>
    </row>
    <row r="1393" spans="1:12" x14ac:dyDescent="0.25">
      <c r="A1393">
        <v>2018</v>
      </c>
      <c r="B1393" t="s">
        <v>454</v>
      </c>
      <c r="C1393">
        <v>21</v>
      </c>
      <c r="D1393">
        <v>305</v>
      </c>
      <c r="E1393">
        <v>47</v>
      </c>
      <c r="F1393">
        <v>64</v>
      </c>
      <c r="G1393">
        <v>2.2400000000000002</v>
      </c>
      <c r="I1393" t="s">
        <v>729</v>
      </c>
      <c r="J1393" t="str">
        <f t="shared" si="12"/>
        <v xml:space="preserve"> 64 47</v>
      </c>
      <c r="K1393">
        <f t="shared" si="15"/>
        <v>0</v>
      </c>
      <c r="L1393">
        <f t="shared" si="16"/>
        <v>0</v>
      </c>
    </row>
    <row r="1394" spans="1:12" x14ac:dyDescent="0.25">
      <c r="A1394">
        <v>2018</v>
      </c>
      <c r="B1394" t="s">
        <v>455</v>
      </c>
      <c r="C1394">
        <v>28</v>
      </c>
      <c r="D1394">
        <v>423</v>
      </c>
      <c r="E1394">
        <v>51</v>
      </c>
      <c r="F1394">
        <v>72</v>
      </c>
      <c r="G1394">
        <v>2.29</v>
      </c>
      <c r="I1394" t="s">
        <v>730</v>
      </c>
      <c r="J1394" t="str">
        <f t="shared" si="12"/>
        <v xml:space="preserve"> 72 51</v>
      </c>
      <c r="K1394">
        <f t="shared" si="15"/>
        <v>0</v>
      </c>
      <c r="L1394">
        <f t="shared" si="16"/>
        <v>0</v>
      </c>
    </row>
    <row r="1395" spans="1:12" x14ac:dyDescent="0.25">
      <c r="A1395">
        <v>2018</v>
      </c>
      <c r="B1395" t="s">
        <v>456</v>
      </c>
      <c r="C1395">
        <v>30</v>
      </c>
      <c r="D1395">
        <v>1100</v>
      </c>
      <c r="E1395">
        <v>59</v>
      </c>
      <c r="F1395">
        <v>79</v>
      </c>
      <c r="G1395">
        <v>2.27</v>
      </c>
      <c r="I1395" t="s">
        <v>731</v>
      </c>
      <c r="J1395" t="str">
        <f t="shared" si="12"/>
        <v xml:space="preserve"> 79 59</v>
      </c>
      <c r="K1395">
        <f t="shared" si="15"/>
        <v>0</v>
      </c>
      <c r="L1395">
        <f t="shared" si="16"/>
        <v>0</v>
      </c>
    </row>
    <row r="1396" spans="1:12" x14ac:dyDescent="0.25">
      <c r="A1396">
        <v>2018</v>
      </c>
      <c r="B1396" t="s">
        <v>530</v>
      </c>
      <c r="C1396">
        <v>20</v>
      </c>
      <c r="D1396">
        <v>427</v>
      </c>
      <c r="E1396">
        <v>53</v>
      </c>
      <c r="F1396">
        <v>75</v>
      </c>
      <c r="G1396">
        <v>2.25</v>
      </c>
      <c r="I1396" t="s">
        <v>732</v>
      </c>
      <c r="J1396" t="str">
        <f t="shared" si="12"/>
        <v xml:space="preserve"> 75 53</v>
      </c>
      <c r="K1396">
        <f t="shared" si="15"/>
        <v>0</v>
      </c>
      <c r="L1396">
        <f t="shared" si="16"/>
        <v>0</v>
      </c>
    </row>
    <row r="1397" spans="1:12" x14ac:dyDescent="0.25">
      <c r="A1397">
        <v>2018</v>
      </c>
      <c r="B1397" t="s">
        <v>458</v>
      </c>
      <c r="C1397">
        <v>28</v>
      </c>
      <c r="D1397">
        <v>129</v>
      </c>
      <c r="E1397">
        <v>33</v>
      </c>
      <c r="F1397">
        <v>53</v>
      </c>
      <c r="G1397">
        <v>2.14</v>
      </c>
      <c r="I1397" t="s">
        <v>733</v>
      </c>
      <c r="J1397" t="str">
        <f t="shared" si="12"/>
        <v xml:space="preserve"> 53 33</v>
      </c>
      <c r="K1397">
        <f t="shared" si="15"/>
        <v>0</v>
      </c>
      <c r="L1397">
        <f t="shared" si="16"/>
        <v>0</v>
      </c>
    </row>
    <row r="1398" spans="1:12" x14ac:dyDescent="0.25">
      <c r="A1398">
        <v>2018</v>
      </c>
      <c r="B1398" t="s">
        <v>459</v>
      </c>
      <c r="C1398">
        <v>80</v>
      </c>
      <c r="D1398">
        <v>732</v>
      </c>
      <c r="E1398">
        <v>40</v>
      </c>
      <c r="F1398">
        <v>65</v>
      </c>
      <c r="G1398">
        <v>2.11</v>
      </c>
      <c r="I1398" t="s">
        <v>734</v>
      </c>
      <c r="J1398" t="str">
        <f t="shared" si="12"/>
        <v xml:space="preserve"> 65 40</v>
      </c>
      <c r="K1398">
        <f t="shared" si="15"/>
        <v>0</v>
      </c>
      <c r="L1398">
        <f t="shared" si="16"/>
        <v>0</v>
      </c>
    </row>
    <row r="1399" spans="1:12" x14ac:dyDescent="0.25">
      <c r="A1399">
        <v>2018</v>
      </c>
      <c r="B1399" t="s">
        <v>531</v>
      </c>
      <c r="C1399">
        <v>42</v>
      </c>
      <c r="D1399">
        <v>360</v>
      </c>
      <c r="E1399">
        <v>37</v>
      </c>
      <c r="F1399">
        <v>69</v>
      </c>
      <c r="G1399">
        <v>2.17</v>
      </c>
      <c r="I1399" t="s">
        <v>735</v>
      </c>
      <c r="J1399" t="str">
        <f t="shared" si="12"/>
        <v xml:space="preserve"> 69 37</v>
      </c>
      <c r="K1399">
        <f t="shared" si="15"/>
        <v>0</v>
      </c>
      <c r="L1399">
        <f t="shared" si="16"/>
        <v>0</v>
      </c>
    </row>
    <row r="1400" spans="1:12" x14ac:dyDescent="0.25">
      <c r="A1400">
        <v>2018</v>
      </c>
      <c r="B1400" t="s">
        <v>532</v>
      </c>
      <c r="C1400">
        <v>42</v>
      </c>
      <c r="D1400">
        <v>222</v>
      </c>
      <c r="E1400">
        <v>33</v>
      </c>
      <c r="F1400">
        <v>56</v>
      </c>
      <c r="G1400">
        <v>2.02</v>
      </c>
      <c r="I1400" t="s">
        <v>804</v>
      </c>
      <c r="J1400" t="str">
        <f t="shared" si="12"/>
        <v xml:space="preserve"> 56 33</v>
      </c>
      <c r="K1400">
        <f t="shared" si="15"/>
        <v>0</v>
      </c>
      <c r="L1400">
        <f t="shared" si="16"/>
        <v>0</v>
      </c>
    </row>
    <row r="1401" spans="1:12" x14ac:dyDescent="0.25">
      <c r="A1401">
        <v>2018</v>
      </c>
      <c r="B1401" t="s">
        <v>461</v>
      </c>
      <c r="C1401">
        <v>56</v>
      </c>
      <c r="D1401">
        <v>791</v>
      </c>
      <c r="E1401">
        <v>43</v>
      </c>
      <c r="F1401">
        <v>70</v>
      </c>
      <c r="G1401">
        <v>2.0499999999999998</v>
      </c>
      <c r="I1401" t="s">
        <v>736</v>
      </c>
      <c r="J1401" t="str">
        <f t="shared" si="12"/>
        <v xml:space="preserve"> 70 43</v>
      </c>
      <c r="K1401">
        <f t="shared" si="15"/>
        <v>0</v>
      </c>
      <c r="L1401">
        <f t="shared" si="16"/>
        <v>0</v>
      </c>
    </row>
    <row r="1402" spans="1:12" x14ac:dyDescent="0.25">
      <c r="A1402">
        <v>2018</v>
      </c>
      <c r="B1402" t="s">
        <v>462</v>
      </c>
      <c r="C1402">
        <v>104</v>
      </c>
      <c r="D1402">
        <v>810</v>
      </c>
      <c r="E1402">
        <v>38</v>
      </c>
      <c r="F1402">
        <v>61</v>
      </c>
      <c r="G1402">
        <v>2.3199999999999998</v>
      </c>
      <c r="I1402" t="s">
        <v>737</v>
      </c>
      <c r="J1402" t="str">
        <f t="shared" si="12"/>
        <v xml:space="preserve"> 61 38</v>
      </c>
      <c r="K1402">
        <f t="shared" si="15"/>
        <v>0</v>
      </c>
      <c r="L1402">
        <f t="shared" si="16"/>
        <v>0</v>
      </c>
    </row>
    <row r="1403" spans="1:12" x14ac:dyDescent="0.25">
      <c r="A1403">
        <v>2018</v>
      </c>
      <c r="B1403" t="s">
        <v>463</v>
      </c>
      <c r="C1403">
        <v>160</v>
      </c>
      <c r="D1403">
        <v>1301</v>
      </c>
      <c r="E1403">
        <v>42</v>
      </c>
      <c r="F1403">
        <v>69</v>
      </c>
      <c r="G1403">
        <v>2.2200000000000002</v>
      </c>
      <c r="I1403" t="s">
        <v>738</v>
      </c>
      <c r="J1403" t="str">
        <f t="shared" si="12"/>
        <v xml:space="preserve"> 69 42</v>
      </c>
      <c r="K1403">
        <f t="shared" si="15"/>
        <v>0</v>
      </c>
      <c r="L1403">
        <f t="shared" si="16"/>
        <v>0</v>
      </c>
    </row>
    <row r="1404" spans="1:12" x14ac:dyDescent="0.25">
      <c r="A1404">
        <v>2018</v>
      </c>
      <c r="B1404" t="s">
        <v>464</v>
      </c>
      <c r="C1404">
        <v>28</v>
      </c>
      <c r="D1404">
        <v>171</v>
      </c>
      <c r="E1404">
        <v>40</v>
      </c>
      <c r="F1404">
        <v>55</v>
      </c>
      <c r="G1404">
        <v>2.1800000000000002</v>
      </c>
      <c r="I1404" t="s">
        <v>739</v>
      </c>
      <c r="J1404" t="str">
        <f t="shared" si="12"/>
        <v xml:space="preserve"> 55 40</v>
      </c>
      <c r="K1404">
        <f t="shared" si="15"/>
        <v>0</v>
      </c>
      <c r="L1404">
        <f t="shared" si="16"/>
        <v>0</v>
      </c>
    </row>
    <row r="1405" spans="1:12" x14ac:dyDescent="0.25">
      <c r="A1405">
        <v>2018</v>
      </c>
      <c r="B1405" t="s">
        <v>465</v>
      </c>
      <c r="C1405">
        <v>120</v>
      </c>
      <c r="D1405">
        <v>1052</v>
      </c>
      <c r="E1405">
        <v>47</v>
      </c>
      <c r="F1405">
        <v>81</v>
      </c>
      <c r="G1405">
        <v>2.48</v>
      </c>
      <c r="I1405" t="s">
        <v>740</v>
      </c>
      <c r="J1405" t="str">
        <f t="shared" si="12"/>
        <v xml:space="preserve"> 81 47</v>
      </c>
      <c r="K1405">
        <f t="shared" si="15"/>
        <v>0</v>
      </c>
      <c r="L1405">
        <f t="shared" si="16"/>
        <v>0</v>
      </c>
    </row>
    <row r="1406" spans="1:12" x14ac:dyDescent="0.25">
      <c r="A1406">
        <v>2018</v>
      </c>
      <c r="B1406" t="s">
        <v>466</v>
      </c>
      <c r="C1406">
        <v>56</v>
      </c>
      <c r="D1406">
        <v>428</v>
      </c>
      <c r="E1406">
        <v>43</v>
      </c>
      <c r="F1406">
        <v>76</v>
      </c>
      <c r="G1406">
        <v>2.4500000000000002</v>
      </c>
      <c r="I1406" t="s">
        <v>741</v>
      </c>
      <c r="J1406" t="str">
        <f t="shared" si="12"/>
        <v xml:space="preserve"> 76 43</v>
      </c>
      <c r="K1406">
        <f t="shared" si="15"/>
        <v>0</v>
      </c>
      <c r="L1406">
        <f t="shared" si="16"/>
        <v>0</v>
      </c>
    </row>
    <row r="1407" spans="1:12" x14ac:dyDescent="0.25">
      <c r="A1407">
        <v>2018</v>
      </c>
      <c r="B1407" t="s">
        <v>467</v>
      </c>
      <c r="C1407">
        <v>22</v>
      </c>
      <c r="D1407">
        <v>759</v>
      </c>
      <c r="E1407">
        <v>50</v>
      </c>
      <c r="F1407">
        <v>73</v>
      </c>
      <c r="G1407">
        <v>2.23</v>
      </c>
      <c r="I1407" t="s">
        <v>742</v>
      </c>
      <c r="J1407" t="str">
        <f t="shared" si="12"/>
        <v xml:space="preserve"> 73 50</v>
      </c>
      <c r="K1407">
        <f t="shared" si="15"/>
        <v>0</v>
      </c>
      <c r="L1407">
        <f t="shared" si="16"/>
        <v>0</v>
      </c>
    </row>
    <row r="1408" spans="1:12" x14ac:dyDescent="0.25">
      <c r="A1408">
        <v>2018</v>
      </c>
      <c r="B1408" t="s">
        <v>468</v>
      </c>
      <c r="C1408">
        <v>33</v>
      </c>
      <c r="D1408">
        <v>566</v>
      </c>
      <c r="E1408">
        <v>44</v>
      </c>
      <c r="F1408">
        <v>64</v>
      </c>
      <c r="G1408">
        <v>2.15</v>
      </c>
      <c r="I1408" t="s">
        <v>743</v>
      </c>
      <c r="J1408" t="str">
        <f t="shared" si="12"/>
        <v xml:space="preserve"> 64 44</v>
      </c>
      <c r="K1408">
        <f t="shared" si="15"/>
        <v>0</v>
      </c>
      <c r="L1408">
        <f t="shared" si="16"/>
        <v>0</v>
      </c>
    </row>
    <row r="1409" spans="1:12" x14ac:dyDescent="0.25">
      <c r="A1409">
        <v>2018</v>
      </c>
      <c r="B1409" t="s">
        <v>469</v>
      </c>
      <c r="C1409">
        <v>20</v>
      </c>
      <c r="D1409">
        <v>229</v>
      </c>
      <c r="E1409">
        <v>41</v>
      </c>
      <c r="F1409">
        <v>58</v>
      </c>
      <c r="G1409">
        <v>2.1</v>
      </c>
      <c r="I1409" t="s">
        <v>744</v>
      </c>
      <c r="J1409" t="str">
        <f t="shared" si="12"/>
        <v xml:space="preserve"> 58 41</v>
      </c>
      <c r="K1409">
        <f t="shared" si="15"/>
        <v>0</v>
      </c>
      <c r="L1409">
        <f t="shared" si="16"/>
        <v>0</v>
      </c>
    </row>
    <row r="1410" spans="1:12" x14ac:dyDescent="0.25">
      <c r="A1410">
        <v>2018</v>
      </c>
      <c r="B1410" t="s">
        <v>470</v>
      </c>
      <c r="C1410">
        <v>28</v>
      </c>
      <c r="D1410">
        <v>112</v>
      </c>
      <c r="E1410">
        <v>31</v>
      </c>
      <c r="F1410">
        <v>62</v>
      </c>
      <c r="G1410">
        <v>2.14</v>
      </c>
      <c r="I1410" t="s">
        <v>745</v>
      </c>
      <c r="J1410" t="str">
        <f t="shared" si="12"/>
        <v xml:space="preserve"> 62 31</v>
      </c>
      <c r="K1410">
        <f t="shared" si="15"/>
        <v>0</v>
      </c>
      <c r="L1410">
        <f t="shared" si="16"/>
        <v>0</v>
      </c>
    </row>
    <row r="1411" spans="1:12" x14ac:dyDescent="0.25">
      <c r="A1411">
        <v>2018</v>
      </c>
      <c r="B1411" t="s">
        <v>471</v>
      </c>
      <c r="C1411">
        <v>24</v>
      </c>
      <c r="D1411">
        <v>201</v>
      </c>
      <c r="E1411">
        <v>38</v>
      </c>
      <c r="F1411">
        <v>64</v>
      </c>
      <c r="G1411">
        <v>2.25</v>
      </c>
      <c r="I1411" t="s">
        <v>746</v>
      </c>
      <c r="J1411" t="str">
        <f t="shared" si="12"/>
        <v xml:space="preserve"> 64 38</v>
      </c>
      <c r="K1411">
        <f t="shared" si="15"/>
        <v>0</v>
      </c>
      <c r="L1411">
        <f t="shared" si="16"/>
        <v>0</v>
      </c>
    </row>
    <row r="1412" spans="1:12" x14ac:dyDescent="0.25">
      <c r="A1412">
        <v>2018</v>
      </c>
      <c r="B1412" t="s">
        <v>472</v>
      </c>
      <c r="C1412">
        <v>42</v>
      </c>
      <c r="D1412">
        <v>284</v>
      </c>
      <c r="E1412">
        <v>36</v>
      </c>
      <c r="F1412">
        <v>58</v>
      </c>
      <c r="G1412">
        <v>2.2599999999999998</v>
      </c>
      <c r="I1412" t="s">
        <v>805</v>
      </c>
      <c r="J1412" t="str">
        <f t="shared" si="12"/>
        <v xml:space="preserve"> 58 36</v>
      </c>
      <c r="K1412">
        <f t="shared" si="15"/>
        <v>0</v>
      </c>
      <c r="L1412">
        <f t="shared" si="16"/>
        <v>0</v>
      </c>
    </row>
    <row r="1413" spans="1:12" x14ac:dyDescent="0.25">
      <c r="A1413">
        <v>2018</v>
      </c>
      <c r="B1413" t="s">
        <v>473</v>
      </c>
      <c r="C1413">
        <v>125</v>
      </c>
      <c r="D1413">
        <v>16967</v>
      </c>
      <c r="E1413">
        <v>76</v>
      </c>
      <c r="F1413">
        <v>90</v>
      </c>
      <c r="G1413">
        <v>2.87</v>
      </c>
      <c r="I1413" t="s">
        <v>747</v>
      </c>
      <c r="J1413" t="str">
        <f t="shared" si="12"/>
        <v xml:space="preserve"> 90 76</v>
      </c>
      <c r="K1413">
        <f t="shared" si="15"/>
        <v>0</v>
      </c>
      <c r="L1413">
        <f t="shared" si="16"/>
        <v>0</v>
      </c>
    </row>
    <row r="1414" spans="1:12" x14ac:dyDescent="0.25">
      <c r="A1414">
        <v>2018</v>
      </c>
      <c r="B1414" t="s">
        <v>545</v>
      </c>
      <c r="C1414">
        <v>42</v>
      </c>
      <c r="D1414">
        <v>4447</v>
      </c>
      <c r="E1414">
        <v>69</v>
      </c>
      <c r="F1414">
        <v>88</v>
      </c>
      <c r="G1414">
        <v>2.81</v>
      </c>
      <c r="I1414" t="s">
        <v>748</v>
      </c>
      <c r="J1414" t="str">
        <f t="shared" si="12"/>
        <v xml:space="preserve"> 88 69</v>
      </c>
      <c r="K1414">
        <f t="shared" si="15"/>
        <v>0</v>
      </c>
      <c r="L1414">
        <f t="shared" si="16"/>
        <v>0</v>
      </c>
    </row>
    <row r="1415" spans="1:12" x14ac:dyDescent="0.25">
      <c r="A1415">
        <v>2018</v>
      </c>
      <c r="B1415" t="s">
        <v>533</v>
      </c>
      <c r="C1415">
        <v>80</v>
      </c>
      <c r="D1415">
        <v>6920</v>
      </c>
      <c r="E1415">
        <v>72</v>
      </c>
      <c r="F1415">
        <v>87</v>
      </c>
      <c r="G1415">
        <v>3.33</v>
      </c>
      <c r="I1415" t="s">
        <v>749</v>
      </c>
      <c r="J1415" t="str">
        <f t="shared" si="12"/>
        <v xml:space="preserve"> 87 72</v>
      </c>
      <c r="K1415">
        <f t="shared" si="15"/>
        <v>0</v>
      </c>
      <c r="L1415">
        <f t="shared" si="16"/>
        <v>0</v>
      </c>
    </row>
    <row r="1416" spans="1:12" x14ac:dyDescent="0.25">
      <c r="A1416">
        <v>2018</v>
      </c>
      <c r="B1416" t="s">
        <v>475</v>
      </c>
      <c r="C1416">
        <v>64</v>
      </c>
      <c r="D1416">
        <v>2582</v>
      </c>
      <c r="E1416">
        <v>54</v>
      </c>
      <c r="F1416">
        <v>74</v>
      </c>
      <c r="G1416">
        <v>2.2000000000000002</v>
      </c>
      <c r="I1416" t="s">
        <v>750</v>
      </c>
      <c r="J1416" t="str">
        <f t="shared" si="12"/>
        <v xml:space="preserve"> 74 54</v>
      </c>
      <c r="K1416">
        <f t="shared" si="15"/>
        <v>0</v>
      </c>
      <c r="L1416">
        <f t="shared" si="16"/>
        <v>0</v>
      </c>
    </row>
    <row r="1417" spans="1:12" x14ac:dyDescent="0.25">
      <c r="A1417">
        <v>2018</v>
      </c>
      <c r="B1417" t="s">
        <v>476</v>
      </c>
      <c r="C1417">
        <v>42</v>
      </c>
      <c r="D1417">
        <v>1054</v>
      </c>
      <c r="E1417">
        <v>50</v>
      </c>
      <c r="F1417">
        <v>69</v>
      </c>
      <c r="G1417">
        <v>2.2400000000000002</v>
      </c>
      <c r="I1417" t="s">
        <v>751</v>
      </c>
      <c r="J1417" t="str">
        <f t="shared" si="12"/>
        <v xml:space="preserve"> 69 50</v>
      </c>
      <c r="K1417">
        <f t="shared" si="15"/>
        <v>0</v>
      </c>
      <c r="L1417">
        <f t="shared" si="16"/>
        <v>0</v>
      </c>
    </row>
    <row r="1418" spans="1:12" x14ac:dyDescent="0.25">
      <c r="A1418">
        <v>2018</v>
      </c>
      <c r="B1418" t="s">
        <v>477</v>
      </c>
      <c r="C1418">
        <v>56</v>
      </c>
      <c r="D1418">
        <v>1052</v>
      </c>
      <c r="E1418">
        <v>47</v>
      </c>
      <c r="F1418">
        <v>70</v>
      </c>
      <c r="G1418">
        <v>2.13</v>
      </c>
      <c r="I1418" t="s">
        <v>752</v>
      </c>
      <c r="J1418" t="str">
        <f t="shared" si="12"/>
        <v xml:space="preserve"> 70 47</v>
      </c>
      <c r="K1418">
        <f t="shared" si="15"/>
        <v>0</v>
      </c>
      <c r="L1418">
        <f t="shared" si="16"/>
        <v>0</v>
      </c>
    </row>
    <row r="1419" spans="1:12" x14ac:dyDescent="0.25">
      <c r="A1419">
        <v>2018</v>
      </c>
      <c r="B1419" t="s">
        <v>478</v>
      </c>
      <c r="C1419">
        <v>24</v>
      </c>
      <c r="D1419">
        <v>383</v>
      </c>
      <c r="E1419">
        <v>45</v>
      </c>
      <c r="F1419">
        <v>63</v>
      </c>
      <c r="G1419">
        <v>2.67</v>
      </c>
      <c r="I1419" t="s">
        <v>753</v>
      </c>
      <c r="J1419" t="str">
        <f t="shared" ref="J1419:J1463" si="17">RIGHT(I1419,6)</f>
        <v xml:space="preserve"> 63 45</v>
      </c>
      <c r="K1419">
        <f t="shared" si="15"/>
        <v>0</v>
      </c>
      <c r="L1419">
        <f t="shared" si="16"/>
        <v>0</v>
      </c>
    </row>
    <row r="1420" spans="1:12" x14ac:dyDescent="0.25">
      <c r="A1420">
        <v>2018</v>
      </c>
      <c r="B1420" t="s">
        <v>479</v>
      </c>
      <c r="C1420">
        <v>42</v>
      </c>
      <c r="D1420">
        <v>407</v>
      </c>
      <c r="E1420">
        <v>39</v>
      </c>
      <c r="F1420">
        <v>71</v>
      </c>
      <c r="G1420">
        <v>2.14</v>
      </c>
      <c r="I1420" t="s">
        <v>806</v>
      </c>
      <c r="J1420" t="str">
        <f t="shared" si="17"/>
        <v xml:space="preserve"> 71 39</v>
      </c>
      <c r="K1420">
        <f t="shared" ref="K1420:K1463" si="18">VALUE(RIGHT(J1420,2))-E1420</f>
        <v>0</v>
      </c>
      <c r="L1420">
        <f t="shared" ref="L1420:L1463" si="19">VALUE(LEFT(J1420,3))-F1420</f>
        <v>0</v>
      </c>
    </row>
    <row r="1421" spans="1:12" x14ac:dyDescent="0.25">
      <c r="A1421">
        <v>2018</v>
      </c>
      <c r="B1421" t="s">
        <v>480</v>
      </c>
      <c r="C1421">
        <v>113</v>
      </c>
      <c r="D1421">
        <v>1624</v>
      </c>
      <c r="E1421">
        <v>46</v>
      </c>
      <c r="F1421">
        <v>73</v>
      </c>
      <c r="G1421">
        <v>2.12</v>
      </c>
      <c r="I1421" t="s">
        <v>754</v>
      </c>
      <c r="J1421" t="str">
        <f t="shared" si="17"/>
        <v xml:space="preserve"> 73 46</v>
      </c>
      <c r="K1421">
        <f t="shared" si="18"/>
        <v>0</v>
      </c>
      <c r="L1421">
        <f t="shared" si="19"/>
        <v>0</v>
      </c>
    </row>
    <row r="1422" spans="1:12" x14ac:dyDescent="0.25">
      <c r="A1422">
        <v>2018</v>
      </c>
      <c r="B1422" t="s">
        <v>481</v>
      </c>
      <c r="C1422">
        <v>35</v>
      </c>
      <c r="D1422">
        <v>549</v>
      </c>
      <c r="E1422">
        <v>46</v>
      </c>
      <c r="F1422">
        <v>67</v>
      </c>
      <c r="G1422">
        <v>2.2000000000000002</v>
      </c>
      <c r="I1422" t="s">
        <v>755</v>
      </c>
      <c r="J1422" t="str">
        <f t="shared" si="17"/>
        <v xml:space="preserve"> 67 46</v>
      </c>
      <c r="K1422">
        <f t="shared" si="18"/>
        <v>0</v>
      </c>
      <c r="L1422">
        <f t="shared" si="19"/>
        <v>0</v>
      </c>
    </row>
    <row r="1423" spans="1:12" x14ac:dyDescent="0.25">
      <c r="A1423">
        <v>2018</v>
      </c>
      <c r="B1423" t="s">
        <v>482</v>
      </c>
      <c r="C1423">
        <v>56</v>
      </c>
      <c r="D1423">
        <v>1117</v>
      </c>
      <c r="E1423">
        <v>48</v>
      </c>
      <c r="F1423">
        <v>78</v>
      </c>
      <c r="G1423">
        <v>2.4500000000000002</v>
      </c>
      <c r="I1423" t="s">
        <v>756</v>
      </c>
      <c r="J1423" t="str">
        <f t="shared" si="17"/>
        <v xml:space="preserve"> 78 48</v>
      </c>
      <c r="K1423">
        <f t="shared" si="18"/>
        <v>0</v>
      </c>
      <c r="L1423">
        <f t="shared" si="19"/>
        <v>0</v>
      </c>
    </row>
    <row r="1424" spans="1:12" x14ac:dyDescent="0.25">
      <c r="A1424">
        <v>2018</v>
      </c>
      <c r="B1424" t="s">
        <v>483</v>
      </c>
      <c r="C1424">
        <v>49</v>
      </c>
      <c r="D1424">
        <v>2994</v>
      </c>
      <c r="E1424">
        <v>61</v>
      </c>
      <c r="F1424">
        <v>84</v>
      </c>
      <c r="G1424">
        <v>2.2000000000000002</v>
      </c>
      <c r="I1424" t="s">
        <v>757</v>
      </c>
      <c r="J1424" t="str">
        <f t="shared" si="17"/>
        <v xml:space="preserve"> 84 61</v>
      </c>
      <c r="K1424">
        <f t="shared" si="18"/>
        <v>0</v>
      </c>
      <c r="L1424">
        <f t="shared" si="19"/>
        <v>0</v>
      </c>
    </row>
    <row r="1425" spans="1:12" x14ac:dyDescent="0.25">
      <c r="A1425">
        <v>2018</v>
      </c>
      <c r="B1425" t="s">
        <v>484</v>
      </c>
      <c r="C1425">
        <v>28</v>
      </c>
      <c r="D1425">
        <v>1316</v>
      </c>
      <c r="E1425">
        <v>56</v>
      </c>
      <c r="F1425">
        <v>74</v>
      </c>
      <c r="G1425">
        <v>2.54</v>
      </c>
      <c r="I1425" t="s">
        <v>758</v>
      </c>
      <c r="J1425" t="str">
        <f t="shared" si="17"/>
        <v xml:space="preserve"> 74 56</v>
      </c>
      <c r="K1425">
        <f t="shared" si="18"/>
        <v>0</v>
      </c>
      <c r="L1425">
        <f t="shared" si="19"/>
        <v>0</v>
      </c>
    </row>
    <row r="1426" spans="1:12" x14ac:dyDescent="0.25">
      <c r="A1426">
        <v>2018</v>
      </c>
      <c r="B1426" t="s">
        <v>485</v>
      </c>
      <c r="C1426">
        <v>28</v>
      </c>
      <c r="D1426">
        <v>98</v>
      </c>
      <c r="E1426">
        <v>27</v>
      </c>
      <c r="F1426">
        <v>60</v>
      </c>
      <c r="G1426">
        <v>2.11</v>
      </c>
      <c r="I1426" t="s">
        <v>759</v>
      </c>
      <c r="J1426" t="str">
        <f t="shared" si="17"/>
        <v xml:space="preserve"> 60 27</v>
      </c>
      <c r="K1426">
        <f t="shared" si="18"/>
        <v>0</v>
      </c>
      <c r="L1426">
        <f t="shared" si="19"/>
        <v>0</v>
      </c>
    </row>
    <row r="1427" spans="1:12" x14ac:dyDescent="0.25">
      <c r="A1427">
        <v>2018</v>
      </c>
      <c r="B1427" t="s">
        <v>486</v>
      </c>
      <c r="C1427">
        <v>22</v>
      </c>
      <c r="D1427">
        <v>209</v>
      </c>
      <c r="E1427">
        <v>40</v>
      </c>
      <c r="F1427">
        <v>61</v>
      </c>
      <c r="G1427">
        <v>2.36</v>
      </c>
      <c r="I1427" t="s">
        <v>760</v>
      </c>
      <c r="J1427" t="str">
        <f t="shared" si="17"/>
        <v xml:space="preserve"> 61 40</v>
      </c>
      <c r="K1427">
        <f t="shared" si="18"/>
        <v>0</v>
      </c>
      <c r="L1427">
        <f t="shared" si="19"/>
        <v>0</v>
      </c>
    </row>
    <row r="1428" spans="1:12" x14ac:dyDescent="0.25">
      <c r="A1428">
        <v>2018</v>
      </c>
      <c r="B1428" t="s">
        <v>487</v>
      </c>
      <c r="C1428">
        <v>16</v>
      </c>
      <c r="D1428">
        <v>149</v>
      </c>
      <c r="E1428">
        <v>37</v>
      </c>
      <c r="F1428">
        <v>63</v>
      </c>
      <c r="G1428">
        <v>2.13</v>
      </c>
      <c r="I1428" t="s">
        <v>761</v>
      </c>
      <c r="J1428" t="str">
        <f t="shared" si="17"/>
        <v xml:space="preserve"> 63 37</v>
      </c>
      <c r="K1428">
        <f t="shared" si="18"/>
        <v>0</v>
      </c>
      <c r="L1428">
        <f t="shared" si="19"/>
        <v>0</v>
      </c>
    </row>
    <row r="1429" spans="1:12" x14ac:dyDescent="0.25">
      <c r="A1429">
        <v>2018</v>
      </c>
      <c r="B1429" t="s">
        <v>488</v>
      </c>
      <c r="C1429">
        <v>28</v>
      </c>
      <c r="D1429">
        <v>238</v>
      </c>
      <c r="E1429">
        <v>37</v>
      </c>
      <c r="F1429">
        <v>64</v>
      </c>
      <c r="G1429">
        <v>2.0699999999999998</v>
      </c>
      <c r="I1429" t="s">
        <v>762</v>
      </c>
      <c r="J1429" t="str">
        <f t="shared" si="17"/>
        <v xml:space="preserve"> 64 37</v>
      </c>
      <c r="K1429">
        <f t="shared" si="18"/>
        <v>0</v>
      </c>
      <c r="L1429">
        <f t="shared" si="19"/>
        <v>0</v>
      </c>
    </row>
    <row r="1430" spans="1:12" x14ac:dyDescent="0.25">
      <c r="A1430">
        <v>2018</v>
      </c>
      <c r="B1430" t="s">
        <v>534</v>
      </c>
      <c r="C1430">
        <v>300</v>
      </c>
      <c r="D1430">
        <v>4682</v>
      </c>
      <c r="E1430">
        <v>46</v>
      </c>
      <c r="F1430">
        <v>81</v>
      </c>
      <c r="G1430">
        <v>2.38</v>
      </c>
      <c r="I1430" t="s">
        <v>763</v>
      </c>
      <c r="J1430" t="str">
        <f t="shared" si="17"/>
        <v xml:space="preserve"> 81 46</v>
      </c>
      <c r="K1430">
        <f t="shared" si="18"/>
        <v>0</v>
      </c>
      <c r="L1430">
        <f t="shared" si="19"/>
        <v>0</v>
      </c>
    </row>
    <row r="1431" spans="1:12" x14ac:dyDescent="0.25">
      <c r="A1431">
        <v>2018</v>
      </c>
      <c r="B1431" t="s">
        <v>546</v>
      </c>
      <c r="C1431">
        <v>28</v>
      </c>
      <c r="D1431">
        <v>109</v>
      </c>
      <c r="E1431">
        <v>39</v>
      </c>
      <c r="F1431">
        <v>75</v>
      </c>
      <c r="G1431">
        <v>2.46</v>
      </c>
      <c r="I1431" t="s">
        <v>764</v>
      </c>
      <c r="J1431" t="str">
        <f t="shared" si="17"/>
        <v xml:space="preserve"> 75 39</v>
      </c>
      <c r="K1431">
        <f t="shared" si="18"/>
        <v>0</v>
      </c>
      <c r="L1431">
        <f t="shared" si="19"/>
        <v>0</v>
      </c>
    </row>
    <row r="1432" spans="1:12" x14ac:dyDescent="0.25">
      <c r="A1432">
        <v>2018</v>
      </c>
      <c r="B1432" t="s">
        <v>491</v>
      </c>
      <c r="C1432">
        <v>42</v>
      </c>
      <c r="D1432">
        <v>252</v>
      </c>
      <c r="E1432">
        <v>37</v>
      </c>
      <c r="F1432">
        <v>60</v>
      </c>
      <c r="G1432">
        <v>2.4</v>
      </c>
      <c r="I1432" t="s">
        <v>807</v>
      </c>
      <c r="J1432" t="str">
        <f t="shared" si="17"/>
        <v xml:space="preserve"> 60 37</v>
      </c>
      <c r="K1432">
        <f t="shared" si="18"/>
        <v>0</v>
      </c>
      <c r="L1432">
        <f t="shared" si="19"/>
        <v>0</v>
      </c>
    </row>
    <row r="1433" spans="1:12" x14ac:dyDescent="0.25">
      <c r="A1433">
        <v>2018</v>
      </c>
      <c r="B1433" t="s">
        <v>492</v>
      </c>
      <c r="C1433">
        <v>250</v>
      </c>
      <c r="D1433">
        <v>2589</v>
      </c>
      <c r="E1433">
        <v>49</v>
      </c>
      <c r="F1433">
        <v>81</v>
      </c>
      <c r="G1433">
        <v>2.2799999999999998</v>
      </c>
      <c r="I1433" t="s">
        <v>765</v>
      </c>
      <c r="J1433" t="str">
        <f t="shared" si="17"/>
        <v xml:space="preserve"> 81 49</v>
      </c>
      <c r="K1433">
        <f t="shared" si="18"/>
        <v>0</v>
      </c>
      <c r="L1433">
        <f t="shared" si="19"/>
        <v>0</v>
      </c>
    </row>
    <row r="1434" spans="1:12" x14ac:dyDescent="0.25">
      <c r="A1434">
        <v>2018</v>
      </c>
      <c r="B1434" t="s">
        <v>493</v>
      </c>
      <c r="C1434">
        <v>36</v>
      </c>
      <c r="D1434">
        <v>1018</v>
      </c>
      <c r="E1434">
        <v>65</v>
      </c>
      <c r="F1434">
        <v>83</v>
      </c>
      <c r="G1434">
        <v>2.58</v>
      </c>
      <c r="I1434" t="s">
        <v>766</v>
      </c>
      <c r="J1434" t="str">
        <f t="shared" si="17"/>
        <v xml:space="preserve"> 83 65</v>
      </c>
      <c r="K1434">
        <f t="shared" si="18"/>
        <v>0</v>
      </c>
      <c r="L1434">
        <f t="shared" si="19"/>
        <v>0</v>
      </c>
    </row>
    <row r="1435" spans="1:12" x14ac:dyDescent="0.25">
      <c r="A1435">
        <v>2018</v>
      </c>
      <c r="B1435" t="s">
        <v>494</v>
      </c>
      <c r="C1435">
        <v>32</v>
      </c>
      <c r="D1435">
        <v>168</v>
      </c>
      <c r="E1435">
        <v>37</v>
      </c>
      <c r="F1435">
        <v>65</v>
      </c>
      <c r="G1435">
        <v>2.2200000000000002</v>
      </c>
      <c r="I1435" t="s">
        <v>767</v>
      </c>
      <c r="J1435" t="str">
        <f t="shared" si="17"/>
        <v xml:space="preserve"> 65 37</v>
      </c>
      <c r="K1435">
        <f t="shared" si="18"/>
        <v>0</v>
      </c>
      <c r="L1435">
        <f t="shared" si="19"/>
        <v>0</v>
      </c>
    </row>
    <row r="1436" spans="1:12" x14ac:dyDescent="0.25">
      <c r="A1436">
        <v>2018</v>
      </c>
      <c r="B1436" t="s">
        <v>495</v>
      </c>
      <c r="C1436">
        <v>30</v>
      </c>
      <c r="D1436">
        <v>258</v>
      </c>
      <c r="E1436">
        <v>44</v>
      </c>
      <c r="F1436">
        <v>74</v>
      </c>
      <c r="G1436">
        <v>2.37</v>
      </c>
      <c r="I1436" t="s">
        <v>768</v>
      </c>
      <c r="J1436" t="str">
        <f t="shared" si="17"/>
        <v xml:space="preserve"> 74 44</v>
      </c>
      <c r="K1436">
        <f t="shared" si="18"/>
        <v>0</v>
      </c>
      <c r="L1436">
        <f t="shared" si="19"/>
        <v>0</v>
      </c>
    </row>
    <row r="1437" spans="1:12" x14ac:dyDescent="0.25">
      <c r="A1437">
        <v>2018</v>
      </c>
      <c r="B1437" t="s">
        <v>496</v>
      </c>
      <c r="C1437">
        <v>30</v>
      </c>
      <c r="D1437">
        <v>131</v>
      </c>
      <c r="E1437">
        <v>38</v>
      </c>
      <c r="F1437">
        <v>74</v>
      </c>
      <c r="G1437">
        <v>2.4700000000000002</v>
      </c>
      <c r="I1437" t="s">
        <v>769</v>
      </c>
      <c r="J1437" t="str">
        <f t="shared" si="17"/>
        <v xml:space="preserve"> 74 38</v>
      </c>
      <c r="K1437">
        <f t="shared" si="18"/>
        <v>0</v>
      </c>
      <c r="L1437">
        <f t="shared" si="19"/>
        <v>0</v>
      </c>
    </row>
    <row r="1438" spans="1:12" x14ac:dyDescent="0.25">
      <c r="A1438">
        <v>2018</v>
      </c>
      <c r="B1438" t="s">
        <v>497</v>
      </c>
      <c r="C1438">
        <v>60</v>
      </c>
      <c r="D1438">
        <v>1366</v>
      </c>
      <c r="E1438">
        <v>53</v>
      </c>
      <c r="F1438">
        <v>81</v>
      </c>
      <c r="G1438">
        <v>2.25</v>
      </c>
      <c r="I1438" t="s">
        <v>770</v>
      </c>
      <c r="J1438" t="str">
        <f t="shared" si="17"/>
        <v xml:space="preserve"> 81 53</v>
      </c>
      <c r="K1438">
        <f t="shared" si="18"/>
        <v>0</v>
      </c>
      <c r="L1438">
        <f t="shared" si="19"/>
        <v>0</v>
      </c>
    </row>
    <row r="1439" spans="1:12" x14ac:dyDescent="0.25">
      <c r="A1439">
        <v>2018</v>
      </c>
      <c r="B1439" t="s">
        <v>498</v>
      </c>
      <c r="C1439">
        <v>68</v>
      </c>
      <c r="D1439">
        <v>346</v>
      </c>
      <c r="E1439">
        <v>38</v>
      </c>
      <c r="F1439">
        <v>69</v>
      </c>
      <c r="G1439">
        <v>2.2200000000000002</v>
      </c>
      <c r="I1439" t="s">
        <v>771</v>
      </c>
      <c r="J1439" t="str">
        <f t="shared" si="17"/>
        <v xml:space="preserve"> 69 38</v>
      </c>
      <c r="K1439">
        <f t="shared" si="18"/>
        <v>0</v>
      </c>
      <c r="L1439">
        <f t="shared" si="19"/>
        <v>0</v>
      </c>
    </row>
    <row r="1440" spans="1:12" x14ac:dyDescent="0.25">
      <c r="A1440">
        <v>2018</v>
      </c>
      <c r="B1440" t="s">
        <v>499</v>
      </c>
      <c r="C1440">
        <v>42</v>
      </c>
      <c r="D1440">
        <v>212</v>
      </c>
      <c r="E1440">
        <v>35</v>
      </c>
      <c r="F1440">
        <v>71</v>
      </c>
      <c r="G1440">
        <v>2.4</v>
      </c>
      <c r="I1440" t="s">
        <v>772</v>
      </c>
      <c r="J1440" t="str">
        <f t="shared" si="17"/>
        <v xml:space="preserve"> 71 35</v>
      </c>
      <c r="K1440">
        <f t="shared" si="18"/>
        <v>0</v>
      </c>
      <c r="L1440">
        <f t="shared" si="19"/>
        <v>0</v>
      </c>
    </row>
    <row r="1441" spans="1:12" x14ac:dyDescent="0.25">
      <c r="A1441">
        <v>2018</v>
      </c>
      <c r="B1441" t="s">
        <v>500</v>
      </c>
      <c r="C1441">
        <v>30</v>
      </c>
      <c r="D1441">
        <v>142</v>
      </c>
      <c r="E1441">
        <v>39</v>
      </c>
      <c r="F1441">
        <v>63</v>
      </c>
      <c r="G1441">
        <v>2.2999999999999998</v>
      </c>
      <c r="I1441" t="s">
        <v>773</v>
      </c>
      <c r="J1441" t="str">
        <f t="shared" si="17"/>
        <v xml:space="preserve"> 63 39</v>
      </c>
      <c r="K1441">
        <f t="shared" si="18"/>
        <v>0</v>
      </c>
      <c r="L1441">
        <f t="shared" si="19"/>
        <v>0</v>
      </c>
    </row>
    <row r="1442" spans="1:12" x14ac:dyDescent="0.25">
      <c r="A1442">
        <v>2018</v>
      </c>
      <c r="B1442" t="s">
        <v>501</v>
      </c>
      <c r="C1442">
        <v>40</v>
      </c>
      <c r="D1442">
        <v>288</v>
      </c>
      <c r="E1442">
        <v>47</v>
      </c>
      <c r="F1442">
        <v>77</v>
      </c>
      <c r="G1442">
        <v>2.5299999999999998</v>
      </c>
      <c r="I1442" t="s">
        <v>774</v>
      </c>
      <c r="J1442" t="str">
        <f t="shared" si="17"/>
        <v xml:space="preserve"> 77 47</v>
      </c>
      <c r="K1442">
        <f t="shared" si="18"/>
        <v>0</v>
      </c>
      <c r="L1442">
        <f t="shared" si="19"/>
        <v>0</v>
      </c>
    </row>
    <row r="1443" spans="1:12" x14ac:dyDescent="0.25">
      <c r="A1443">
        <v>2018</v>
      </c>
      <c r="B1443" t="s">
        <v>502</v>
      </c>
      <c r="C1443">
        <v>34</v>
      </c>
      <c r="D1443">
        <v>552</v>
      </c>
      <c r="E1443">
        <v>48</v>
      </c>
      <c r="F1443">
        <v>73</v>
      </c>
      <c r="G1443">
        <v>2.29</v>
      </c>
      <c r="I1443" t="s">
        <v>775</v>
      </c>
      <c r="J1443" t="str">
        <f t="shared" si="17"/>
        <v xml:space="preserve"> 73 48</v>
      </c>
      <c r="K1443">
        <f t="shared" si="18"/>
        <v>0</v>
      </c>
      <c r="L1443">
        <f t="shared" si="19"/>
        <v>0</v>
      </c>
    </row>
    <row r="1444" spans="1:12" x14ac:dyDescent="0.25">
      <c r="A1444">
        <v>2018</v>
      </c>
      <c r="B1444" t="s">
        <v>527</v>
      </c>
      <c r="C1444">
        <v>130</v>
      </c>
      <c r="D1444">
        <v>1640</v>
      </c>
      <c r="E1444">
        <v>54</v>
      </c>
      <c r="F1444">
        <v>82</v>
      </c>
      <c r="G1444">
        <v>2.5499999999999998</v>
      </c>
      <c r="I1444" t="s">
        <v>776</v>
      </c>
      <c r="J1444" t="str">
        <f t="shared" si="17"/>
        <v xml:space="preserve"> 82 54</v>
      </c>
      <c r="K1444">
        <f t="shared" si="18"/>
        <v>0</v>
      </c>
      <c r="L1444">
        <f t="shared" si="19"/>
        <v>0</v>
      </c>
    </row>
    <row r="1445" spans="1:12" x14ac:dyDescent="0.25">
      <c r="A1445">
        <v>2018</v>
      </c>
      <c r="B1445" t="s">
        <v>504</v>
      </c>
      <c r="C1445">
        <v>30</v>
      </c>
      <c r="D1445">
        <v>162</v>
      </c>
      <c r="E1445">
        <v>44</v>
      </c>
      <c r="F1445">
        <v>73</v>
      </c>
      <c r="G1445">
        <v>2.57</v>
      </c>
      <c r="I1445" t="s">
        <v>777</v>
      </c>
      <c r="J1445" t="str">
        <f t="shared" si="17"/>
        <v xml:space="preserve"> 73 44</v>
      </c>
      <c r="K1445">
        <f t="shared" si="18"/>
        <v>0</v>
      </c>
      <c r="L1445">
        <f t="shared" si="19"/>
        <v>0</v>
      </c>
    </row>
    <row r="1446" spans="1:12" x14ac:dyDescent="0.25">
      <c r="A1446">
        <v>2018</v>
      </c>
      <c r="B1446" t="s">
        <v>547</v>
      </c>
      <c r="C1446">
        <v>120</v>
      </c>
      <c r="D1446">
        <v>1048</v>
      </c>
      <c r="E1446">
        <v>47</v>
      </c>
      <c r="F1446">
        <v>74</v>
      </c>
      <c r="G1446">
        <v>2.46</v>
      </c>
      <c r="I1446" t="s">
        <v>778</v>
      </c>
      <c r="J1446" t="str">
        <f t="shared" si="17"/>
        <v xml:space="preserve"> 74 47</v>
      </c>
      <c r="K1446">
        <f t="shared" si="18"/>
        <v>0</v>
      </c>
      <c r="L1446">
        <f t="shared" si="19"/>
        <v>0</v>
      </c>
    </row>
    <row r="1447" spans="1:12" x14ac:dyDescent="0.25">
      <c r="A1447">
        <v>2018</v>
      </c>
      <c r="B1447" t="s">
        <v>505</v>
      </c>
      <c r="C1447">
        <v>783</v>
      </c>
      <c r="D1447">
        <v>8482</v>
      </c>
      <c r="E1447">
        <v>57</v>
      </c>
      <c r="F1447">
        <v>88</v>
      </c>
      <c r="G1447">
        <v>2.5</v>
      </c>
      <c r="I1447" t="s">
        <v>779</v>
      </c>
      <c r="J1447" t="str">
        <f t="shared" si="17"/>
        <v xml:space="preserve"> 88 57</v>
      </c>
      <c r="K1447">
        <f t="shared" si="18"/>
        <v>0</v>
      </c>
      <c r="L1447">
        <f t="shared" si="19"/>
        <v>0</v>
      </c>
    </row>
    <row r="1448" spans="1:12" x14ac:dyDescent="0.25">
      <c r="A1448">
        <v>2018</v>
      </c>
      <c r="B1448" t="s">
        <v>507</v>
      </c>
      <c r="C1448">
        <v>135</v>
      </c>
      <c r="D1448">
        <v>1778</v>
      </c>
      <c r="E1448">
        <v>56</v>
      </c>
      <c r="F1448">
        <v>78</v>
      </c>
      <c r="G1448">
        <v>2.5099999999999998</v>
      </c>
      <c r="I1448" t="s">
        <v>780</v>
      </c>
      <c r="J1448" t="str">
        <f t="shared" si="17"/>
        <v xml:space="preserve"> 78 56</v>
      </c>
      <c r="K1448">
        <f t="shared" si="18"/>
        <v>0</v>
      </c>
      <c r="L1448">
        <f t="shared" si="19"/>
        <v>0</v>
      </c>
    </row>
    <row r="1449" spans="1:12" x14ac:dyDescent="0.25">
      <c r="A1449">
        <v>2018</v>
      </c>
      <c r="B1449" t="s">
        <v>548</v>
      </c>
      <c r="C1449">
        <v>447</v>
      </c>
      <c r="D1449">
        <v>2680</v>
      </c>
      <c r="E1449">
        <v>44</v>
      </c>
      <c r="F1449">
        <v>83</v>
      </c>
      <c r="G1449">
        <v>2.38</v>
      </c>
      <c r="I1449" t="s">
        <v>781</v>
      </c>
      <c r="J1449" t="str">
        <f t="shared" si="17"/>
        <v xml:space="preserve"> 83 44</v>
      </c>
      <c r="K1449">
        <f t="shared" si="18"/>
        <v>0</v>
      </c>
      <c r="L1449">
        <f t="shared" si="19"/>
        <v>0</v>
      </c>
    </row>
    <row r="1450" spans="1:12" x14ac:dyDescent="0.25">
      <c r="A1450">
        <v>2018</v>
      </c>
      <c r="B1450" t="s">
        <v>509</v>
      </c>
      <c r="C1450">
        <v>28</v>
      </c>
      <c r="D1450">
        <v>184</v>
      </c>
      <c r="E1450">
        <v>42</v>
      </c>
      <c r="F1450">
        <v>72</v>
      </c>
      <c r="G1450">
        <v>2.3199999999999998</v>
      </c>
      <c r="I1450" t="s">
        <v>782</v>
      </c>
      <c r="J1450" t="str">
        <f t="shared" si="17"/>
        <v xml:space="preserve"> 72 42</v>
      </c>
      <c r="K1450">
        <f t="shared" si="18"/>
        <v>0</v>
      </c>
      <c r="L1450">
        <f t="shared" si="19"/>
        <v>0</v>
      </c>
    </row>
    <row r="1451" spans="1:12" x14ac:dyDescent="0.25">
      <c r="A1451">
        <v>2018</v>
      </c>
      <c r="B1451" t="s">
        <v>510</v>
      </c>
      <c r="C1451">
        <v>35</v>
      </c>
      <c r="D1451">
        <v>254</v>
      </c>
      <c r="E1451">
        <v>44</v>
      </c>
      <c r="F1451">
        <v>80</v>
      </c>
      <c r="G1451">
        <v>2.4300000000000002</v>
      </c>
      <c r="I1451" t="s">
        <v>783</v>
      </c>
      <c r="J1451" t="str">
        <f t="shared" si="17"/>
        <v xml:space="preserve"> 80 44</v>
      </c>
      <c r="K1451">
        <f t="shared" si="18"/>
        <v>0</v>
      </c>
      <c r="L1451">
        <f t="shared" si="19"/>
        <v>0</v>
      </c>
    </row>
    <row r="1452" spans="1:12" x14ac:dyDescent="0.25">
      <c r="A1452">
        <v>2018</v>
      </c>
      <c r="B1452" t="s">
        <v>511</v>
      </c>
      <c r="C1452">
        <v>28</v>
      </c>
      <c r="D1452">
        <v>103</v>
      </c>
      <c r="E1452">
        <v>32</v>
      </c>
      <c r="F1452">
        <v>76</v>
      </c>
      <c r="G1452">
        <v>2.21</v>
      </c>
      <c r="I1452" t="s">
        <v>784</v>
      </c>
      <c r="J1452" t="str">
        <f t="shared" si="17"/>
        <v xml:space="preserve"> 76 32</v>
      </c>
      <c r="K1452">
        <f t="shared" si="18"/>
        <v>0</v>
      </c>
      <c r="L1452">
        <f t="shared" si="19"/>
        <v>0</v>
      </c>
    </row>
    <row r="1453" spans="1:12" x14ac:dyDescent="0.25">
      <c r="A1453">
        <v>2018</v>
      </c>
      <c r="B1453" t="s">
        <v>540</v>
      </c>
      <c r="C1453">
        <v>35</v>
      </c>
      <c r="D1453">
        <v>276</v>
      </c>
      <c r="E1453">
        <v>42</v>
      </c>
      <c r="F1453">
        <v>70</v>
      </c>
      <c r="G1453">
        <v>2.23</v>
      </c>
      <c r="I1453" t="s">
        <v>785</v>
      </c>
      <c r="J1453" t="str">
        <f t="shared" si="17"/>
        <v xml:space="preserve"> 70 42</v>
      </c>
      <c r="K1453">
        <f t="shared" si="18"/>
        <v>0</v>
      </c>
      <c r="L1453">
        <f t="shared" si="19"/>
        <v>0</v>
      </c>
    </row>
    <row r="1454" spans="1:12" x14ac:dyDescent="0.25">
      <c r="A1454">
        <v>2018</v>
      </c>
      <c r="B1454" t="s">
        <v>513</v>
      </c>
      <c r="C1454">
        <v>35</v>
      </c>
      <c r="D1454">
        <v>71</v>
      </c>
      <c r="E1454">
        <v>27</v>
      </c>
      <c r="F1454">
        <v>57</v>
      </c>
      <c r="G1454">
        <v>1.51</v>
      </c>
      <c r="I1454" t="s">
        <v>786</v>
      </c>
      <c r="J1454" t="str">
        <f t="shared" si="17"/>
        <v xml:space="preserve"> 57 27</v>
      </c>
      <c r="K1454">
        <f t="shared" si="18"/>
        <v>0</v>
      </c>
      <c r="L1454">
        <f t="shared" si="19"/>
        <v>0</v>
      </c>
    </row>
    <row r="1455" spans="1:12" x14ac:dyDescent="0.25">
      <c r="A1455">
        <v>2018</v>
      </c>
      <c r="B1455" t="s">
        <v>514</v>
      </c>
      <c r="C1455">
        <v>28</v>
      </c>
      <c r="D1455">
        <v>149</v>
      </c>
      <c r="E1455">
        <v>37</v>
      </c>
      <c r="F1455">
        <v>75</v>
      </c>
      <c r="G1455">
        <v>2.1800000000000002</v>
      </c>
      <c r="I1455" t="s">
        <v>787</v>
      </c>
      <c r="J1455" t="str">
        <f t="shared" si="17"/>
        <v xml:space="preserve"> 75 37</v>
      </c>
      <c r="K1455">
        <f t="shared" si="18"/>
        <v>0</v>
      </c>
      <c r="L1455">
        <f t="shared" si="19"/>
        <v>0</v>
      </c>
    </row>
    <row r="1456" spans="1:12" x14ac:dyDescent="0.25">
      <c r="A1456">
        <v>2018</v>
      </c>
      <c r="B1456" t="s">
        <v>515</v>
      </c>
      <c r="C1456">
        <v>208</v>
      </c>
      <c r="D1456">
        <v>756</v>
      </c>
      <c r="E1456">
        <v>33</v>
      </c>
      <c r="F1456">
        <v>79</v>
      </c>
      <c r="G1456">
        <v>2.31</v>
      </c>
      <c r="I1456" t="s">
        <v>788</v>
      </c>
      <c r="J1456" t="str">
        <f t="shared" si="17"/>
        <v xml:space="preserve"> 79 33</v>
      </c>
      <c r="K1456">
        <f t="shared" si="18"/>
        <v>0</v>
      </c>
      <c r="L1456">
        <f t="shared" si="19"/>
        <v>0</v>
      </c>
    </row>
    <row r="1457" spans="1:12" x14ac:dyDescent="0.25">
      <c r="A1457">
        <v>2018</v>
      </c>
      <c r="B1457" t="s">
        <v>516</v>
      </c>
      <c r="C1457">
        <v>32</v>
      </c>
      <c r="D1457">
        <v>167</v>
      </c>
      <c r="E1457">
        <v>37</v>
      </c>
      <c r="F1457">
        <v>64</v>
      </c>
      <c r="G1457">
        <v>2.25</v>
      </c>
      <c r="I1457" t="s">
        <v>789</v>
      </c>
      <c r="J1457" t="str">
        <f t="shared" si="17"/>
        <v xml:space="preserve"> 64 37</v>
      </c>
      <c r="K1457">
        <f t="shared" si="18"/>
        <v>0</v>
      </c>
      <c r="L1457">
        <f t="shared" si="19"/>
        <v>0</v>
      </c>
    </row>
    <row r="1458" spans="1:12" x14ac:dyDescent="0.25">
      <c r="A1458">
        <v>2018</v>
      </c>
      <c r="B1458" t="s">
        <v>518</v>
      </c>
      <c r="C1458">
        <v>28</v>
      </c>
      <c r="D1458">
        <v>207</v>
      </c>
      <c r="E1458">
        <v>41</v>
      </c>
      <c r="F1458">
        <v>65</v>
      </c>
      <c r="G1458">
        <v>2.39</v>
      </c>
      <c r="I1458" t="s">
        <v>790</v>
      </c>
      <c r="J1458" t="str">
        <f t="shared" si="17"/>
        <v xml:space="preserve"> 65 41</v>
      </c>
      <c r="K1458">
        <f t="shared" si="18"/>
        <v>0</v>
      </c>
      <c r="L1458">
        <f t="shared" si="19"/>
        <v>0</v>
      </c>
    </row>
    <row r="1459" spans="1:12" x14ac:dyDescent="0.25">
      <c r="A1459">
        <v>2018</v>
      </c>
      <c r="B1459" t="s">
        <v>520</v>
      </c>
      <c r="C1459">
        <v>42</v>
      </c>
      <c r="D1459">
        <v>356</v>
      </c>
      <c r="E1459">
        <v>43</v>
      </c>
      <c r="F1459">
        <v>72</v>
      </c>
      <c r="G1459">
        <v>2.29</v>
      </c>
      <c r="I1459" t="s">
        <v>791</v>
      </c>
      <c r="J1459" t="str">
        <f t="shared" si="17"/>
        <v xml:space="preserve"> 72 43</v>
      </c>
      <c r="K1459">
        <f t="shared" si="18"/>
        <v>0</v>
      </c>
      <c r="L1459">
        <f t="shared" si="19"/>
        <v>0</v>
      </c>
    </row>
    <row r="1460" spans="1:12" x14ac:dyDescent="0.25">
      <c r="A1460">
        <v>2018</v>
      </c>
      <c r="B1460" t="s">
        <v>521</v>
      </c>
      <c r="C1460">
        <v>84</v>
      </c>
      <c r="D1460">
        <v>738</v>
      </c>
      <c r="E1460">
        <v>48</v>
      </c>
      <c r="F1460">
        <v>80</v>
      </c>
      <c r="G1460">
        <v>2.48</v>
      </c>
      <c r="I1460" t="s">
        <v>792</v>
      </c>
      <c r="J1460" t="str">
        <f t="shared" si="17"/>
        <v xml:space="preserve"> 80 48</v>
      </c>
      <c r="K1460">
        <f t="shared" si="18"/>
        <v>0</v>
      </c>
      <c r="L1460">
        <f t="shared" si="19"/>
        <v>0</v>
      </c>
    </row>
    <row r="1461" spans="1:12" x14ac:dyDescent="0.25">
      <c r="A1461">
        <v>2018</v>
      </c>
      <c r="B1461" t="s">
        <v>523</v>
      </c>
      <c r="C1461">
        <v>28</v>
      </c>
      <c r="D1461">
        <v>119</v>
      </c>
      <c r="E1461">
        <v>33</v>
      </c>
      <c r="F1461">
        <v>56</v>
      </c>
      <c r="G1461">
        <v>2.11</v>
      </c>
      <c r="I1461" t="s">
        <v>793</v>
      </c>
      <c r="J1461" t="str">
        <f t="shared" si="17"/>
        <v xml:space="preserve"> 56 33</v>
      </c>
      <c r="K1461">
        <f t="shared" si="18"/>
        <v>0</v>
      </c>
      <c r="L1461">
        <f t="shared" si="19"/>
        <v>0</v>
      </c>
    </row>
    <row r="1462" spans="1:12" x14ac:dyDescent="0.25">
      <c r="A1462">
        <v>2018</v>
      </c>
      <c r="B1462" t="s">
        <v>549</v>
      </c>
      <c r="C1462">
        <v>48</v>
      </c>
      <c r="D1462">
        <v>241</v>
      </c>
      <c r="E1462">
        <v>41</v>
      </c>
      <c r="F1462">
        <v>73</v>
      </c>
      <c r="G1462">
        <v>2.31</v>
      </c>
      <c r="I1462" t="s">
        <v>794</v>
      </c>
      <c r="J1462" t="str">
        <f t="shared" si="17"/>
        <v xml:space="preserve"> 73 41</v>
      </c>
      <c r="K1462">
        <f t="shared" si="18"/>
        <v>0</v>
      </c>
      <c r="L1462">
        <f t="shared" si="19"/>
        <v>0</v>
      </c>
    </row>
    <row r="1463" spans="1:12" x14ac:dyDescent="0.25">
      <c r="A1463">
        <v>2018</v>
      </c>
      <c r="B1463" t="s">
        <v>537</v>
      </c>
      <c r="C1463">
        <v>300</v>
      </c>
      <c r="D1463">
        <v>3671</v>
      </c>
      <c r="E1463">
        <v>48</v>
      </c>
      <c r="F1463">
        <v>79</v>
      </c>
      <c r="G1463">
        <v>2.31</v>
      </c>
      <c r="I1463" t="s">
        <v>795</v>
      </c>
      <c r="J1463" t="str">
        <f t="shared" si="17"/>
        <v xml:space="preserve"> 79 48</v>
      </c>
      <c r="K1463">
        <f t="shared" si="18"/>
        <v>0</v>
      </c>
      <c r="L1463">
        <f t="shared" si="19"/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 Cinoto</cp:lastModifiedBy>
  <dcterms:created xsi:type="dcterms:W3CDTF">2026-06-11T00:37:39Z</dcterms:created>
  <dcterms:modified xsi:type="dcterms:W3CDTF">2026-06-11T00:43:00Z</dcterms:modified>
</cp:coreProperties>
</file>